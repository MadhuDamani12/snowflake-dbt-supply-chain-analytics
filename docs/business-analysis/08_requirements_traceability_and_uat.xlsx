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2d165edca4d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f6e16911d9d4110"/>
    <x:sheet xmlns:r="http://schemas.openxmlformats.org/officeDocument/2006/relationships" name="Traceability" sheetId="2" r:id="Rd41474efbdba4e98"/>
    <x:sheet xmlns:r="http://schemas.openxmlformats.org/officeDocument/2006/relationships" name="UAT Test Cases" sheetId="3" r:id="R2c8aec20be9e45c1"/>
    <x:sheet xmlns:r="http://schemas.openxmlformats.org/officeDocument/2006/relationships" name="KPI Catalog" sheetId="4" r:id="Rcf0fe2ee00b74ebf"/>
    <x:sheet xmlns:r="http://schemas.openxmlformats.org/officeDocument/2006/relationships" name="Decision Log" sheetId="5" r:id="R73d3cbd6b9e74d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%"/>
    <x:numFmt numFmtId="201" formatCode="$#,##0.00"/>
    <x:numFmt numFmtId="202" formatCode="0.00%"/>
    <x:numFmt numFmtId="203" formatCode="#,##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465564"/>
      <x:name val="Carlito"/>
    </x:font>
    <x:font>
      <x:b/>
      <x:sz val="11"/>
      <x:color rgb="FFFFFFFF"/>
      <x:name val="Carlito"/>
    </x:font>
    <x:font>
      <x:sz val="10"/>
      <x:color rgb="FF465564"/>
      <x:name val="Carlito"/>
    </x:font>
    <x:font>
      <x:b/>
      <x:sz val="14"/>
      <x:color rgb="FF17324D"/>
      <x:name val="Carlito"/>
    </x:font>
    <x:font>
      <x:b/>
      <x:sz val="10"/>
      <x:color rgb="FFFFFFFF"/>
      <x:name val="Carlito"/>
    </x:font>
    <x:font>
      <x:sz val="9"/>
      <x:color rgb="FF465564"/>
      <x:name val="Carlito"/>
    </x:font>
    <x:font>
      <x:sz val="8"/>
      <x:color rgb="FF465564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2A7F78"/>
      </x:patternFill>
    </x:fill>
    <x:fill>
      <x:patternFill patternType="solid">
        <x:fgColor rgb="FFFFFFFF"/>
      </x:patternFill>
    </x:fill>
    <x:fill>
      <x:patternFill patternType="solid">
        <x:fgColor rgb="FF2F6B9A"/>
      </x:patternFill>
    </x:fill>
    <x:fill>
      <x:patternFill patternType="solid">
        <x:fgColor rgb="FFF4F6F8"/>
      </x:patternFill>
    </x:fill>
    <x:fill>
      <x:patternFill patternType="solid">
        <x:fgColor rgb="FFE7F4F2"/>
      </x:patternFill>
    </x:fill>
  </x:fills>
  <x:borders count="24">
    <x:border/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right style="thin">
        <x:color rgb="FFD9E1E8"/>
      </x:right>
    </x:border>
    <x:border>
      <x:left style="thin">
        <x:color rgb="FFD9E1E8"/>
      </x:left>
      <x:right style="thin">
        <x:color rgb="FFD9E1E8"/>
      </x:right>
    </x:border>
    <x:border>
      <x:left style="thin">
        <x:color rgb="FFD9E1E8"/>
      </x:left>
    </x:border>
    <x:border>
      <x:left style="thin">
        <x:color rgb="FF2A7F78"/>
      </x:left>
      <x:top style="thin">
        <x:color rgb="FF2A7F78"/>
      </x:top>
    </x:border>
    <x:border>
      <x:top style="thin">
        <x:color rgb="FF2A7F78"/>
      </x:top>
    </x:border>
    <x:border>
      <x:right style="thin">
        <x:color rgb="FF2A7F78"/>
      </x:right>
      <x:top style="thin">
        <x:color rgb="FF2A7F78"/>
      </x:top>
    </x:border>
    <x:border>
      <x:left style="thin">
        <x:color rgb="FF2A7F78"/>
      </x:left>
    </x:border>
    <x:border>
      <x:right style="thin">
        <x:color rgb="FF2A7F78"/>
      </x:right>
    </x:border>
    <x:border>
      <x:left style="thin">
        <x:color rgb="FF2A7F78"/>
      </x:left>
      <x:bottom style="thin">
        <x:color rgb="FF2A7F78"/>
      </x:bottom>
    </x:border>
    <x:border>
      <x:bottom style="thin">
        <x:color rgb="FF2A7F78"/>
      </x:bottom>
    </x:border>
    <x:border>
      <x:right style="thin">
        <x:color rgb="FF2A7F78"/>
      </x:right>
      <x:bottom style="thin">
        <x:color rgb="FF2A7F78"/>
      </x:bottom>
    </x:border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right style="thin">
        <x:color rgb="FFD9E1E8"/>
      </x:right>
      <x:bottom style="thin">
        <x:color rgb="FFD9E1E8"/>
      </x:bottom>
    </x:border>
    <x:border>
      <x:left style="thin">
        <x:color rgb="FFD9E1E8"/>
      </x:left>
      <x:bottom style="thin">
        <x:color rgb="FFD9E1E8"/>
      </x:bottom>
    </x:border>
    <x:border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D9E1E8"/>
      </x:left>
      <x:top style="thin">
        <x:color rgb="FFD9E1E8"/>
      </x:top>
      <x:bottom style="thin">
        <x:color rgb="FFD9E1E8"/>
      </x:bottom>
    </x:border>
    <x:border>
      <x:right style="thin">
        <x:color rgb="FFD9E1E8"/>
      </x:right>
      <x:top style="thin">
        <x:color rgb="FFD9E1E8"/>
      </x:top>
    </x:border>
    <x:border>
      <x:left style="thin">
        <x:color rgb="FFD9E1E8"/>
      </x:left>
      <x:right style="thin">
        <x:color rgb="FFD9E1E8"/>
      </x:right>
      <x:top style="thin">
        <x:color rgb="FFD9E1E8"/>
      </x:top>
    </x:border>
    <x:border>
      <x:left style="thin">
        <x:color rgb="FFD9E1E8"/>
      </x:left>
      <x:top style="thin">
        <x:color rgb="FFD9E1E8"/>
      </x:top>
    </x:border>
  </x:borders>
  <x:cellStyleXfs count="1">
    <x:xf numFmtId="0" fontId="0" fillId="0" borderId="0"/>
  </x:cellStyleXfs>
  <x:cellXfs count="1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5" xfId="0" applyNumberFormat="1" applyFont="1" applyFill="1" applyBorder="1"/>
    <x:xf numFmtId="0" fontId="4" fillId="8" borderId="6" xfId="0" applyNumberFormat="1" applyFont="1" applyFill="1" applyBorder="1"/>
    <x:xf numFmtId="0" fontId="4" fillId="8" borderId="7" xfId="0" applyNumberFormat="1" applyFont="1" applyFill="1" applyBorder="1"/>
    <x:xf numFmtId="0" fontId="4" fillId="8" borderId="8" xfId="0" applyNumberFormat="1" applyFont="1" applyFill="1" applyBorder="1"/>
    <x:xf numFmtId="0" fontId="4" fillId="8" borderId="9" xfId="0" applyNumberFormat="1" applyFont="1" applyFill="1" applyBorder="1"/>
    <x:xf numFmtId="0" fontId="4" fillId="8" borderId="10" xfId="0" applyNumberFormat="1" applyFont="1" applyFill="1" applyBorder="1"/>
    <x:xf numFmtId="0" fontId="4" fillId="8" borderId="11" xfId="0" applyNumberFormat="1" applyFont="1" applyFill="1" applyBorder="1"/>
    <x:xf numFmtId="0" fontId="4" fillId="8" borderId="12" xfId="0" applyNumberFormat="1" applyFont="1" applyFill="1" applyBorder="1"/>
    <x:xf numFmtId="0" fontId="4" fillId="8" borderId="5" xfId="0" applyNumberFormat="1" applyFont="1" applyFill="1" applyBorder="1" applyAlignment="1">
      <x:alignment wrapText="1"/>
    </x:xf>
    <x:xf numFmtId="0" fontId="4" fillId="8" borderId="6" xfId="0" applyNumberFormat="1" applyFont="1" applyFill="1" applyBorder="1" applyAlignment="1">
      <x:alignment wrapText="1"/>
    </x:xf>
    <x:xf numFmtId="0" fontId="4" fillId="8" borderId="7" xfId="0" applyNumberFormat="1" applyFont="1" applyFill="1" applyBorder="1" applyAlignment="1">
      <x:alignment wrapText="1"/>
    </x:xf>
    <x:xf numFmtId="0" fontId="4" fillId="8" borderId="8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wrapText="1"/>
    </x:xf>
    <x:xf numFmtId="0" fontId="4" fillId="8" borderId="9" xfId="0" applyNumberFormat="1" applyFont="1" applyFill="1" applyBorder="1" applyAlignment="1">
      <x:alignment wrapText="1"/>
    </x:xf>
    <x:xf numFmtId="0" fontId="4" fillId="8" borderId="10" xfId="0" applyNumberFormat="1" applyFont="1" applyFill="1" applyBorder="1" applyAlignment="1">
      <x:alignment wrapText="1"/>
    </x:xf>
    <x:xf numFmtId="0" fontId="4" fillId="8" borderId="11" xfId="0" applyNumberFormat="1" applyFont="1" applyFill="1" applyBorder="1" applyAlignment="1">
      <x:alignment wrapText="1"/>
    </x:xf>
    <x:xf numFmtId="0" fontId="4" fillId="8" borderId="12" xfId="0" applyNumberFormat="1" applyFont="1" applyFill="1" applyBorder="1" applyAlignment="1">
      <x:alignment wrapText="1"/>
    </x:xf>
    <x:xf numFmtId="0" fontId="4" fillId="8" borderId="5" xfId="0" applyNumberFormat="1" applyFont="1" applyFill="1" applyBorder="1" applyAlignment="1">
      <x:alignment vertical="center" wrapText="1"/>
    </x:xf>
    <x:xf numFmtId="0" fontId="4" fillId="8" borderId="6" xfId="0" applyNumberFormat="1" applyFont="1" applyFill="1" applyBorder="1" applyAlignment="1">
      <x:alignment vertical="center" wrapText="1"/>
    </x:xf>
    <x:xf numFmtId="0" fontId="4" fillId="8" borderId="7" xfId="0" applyNumberFormat="1" applyFont="1" applyFill="1" applyBorder="1" applyAlignment="1">
      <x:alignment vertical="center" wrapText="1"/>
    </x:xf>
    <x:xf numFmtId="0" fontId="4" fillId="8" borderId="8" xfId="0" applyNumberFormat="1" applyFont="1" applyFill="1" applyBorder="1" applyAlignment="1">
      <x:alignment vertical="center" wrapText="1"/>
    </x:xf>
    <x:xf numFmtId="0" fontId="4" fillId="8" borderId="0" xfId="0" applyNumberFormat="1" applyFont="1" applyFill="1" applyBorder="1" applyAlignment="1">
      <x:alignment vertical="center" wrapText="1"/>
    </x:xf>
    <x:xf numFmtId="0" fontId="4" fillId="8" borderId="9" xfId="0" applyNumberFormat="1" applyFont="1" applyFill="1" applyBorder="1" applyAlignment="1">
      <x:alignment vertical="center" wrapText="1"/>
    </x:xf>
    <x:xf numFmtId="0" fontId="4" fillId="8" borderId="10" xfId="0" applyNumberFormat="1" applyFont="1" applyFill="1" applyBorder="1" applyAlignment="1">
      <x:alignment vertical="center" wrapText="1"/>
    </x:xf>
    <x:xf numFmtId="0" fontId="4" fillId="8" borderId="11" xfId="0" applyNumberFormat="1" applyFont="1" applyFill="1" applyBorder="1" applyAlignment="1">
      <x:alignment vertical="center" wrapText="1"/>
    </x:xf>
    <x:xf numFmtId="0" fontId="4" fillId="8" borderId="12" xfId="0" applyNumberFormat="1" applyFont="1" applyFill="1" applyBorder="1" applyAlignment="1">
      <x:alignment vertical="center" wrapText="1"/>
    </x:xf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3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wrapText="1"/>
    </x:xf>
    <x:xf numFmtId="0" fontId="6" fillId="6" borderId="15" xfId="0" applyNumberFormat="1" applyFont="1" applyFill="1" applyBorder="1" applyAlignment="1">
      <x:alignment wrapText="1"/>
    </x:xf>
    <x:xf numFmtId="0" fontId="6" fillId="6" borderId="13" xfId="0" applyNumberFormat="1" applyFont="1" applyFill="1" applyBorder="1" applyAlignment="1">
      <x:alignment vertical="center" wrapText="1"/>
    </x:xf>
    <x:xf numFmtId="0" fontId="6" fillId="6" borderId="14" xfId="0" applyNumberFormat="1" applyFont="1" applyFill="1" applyBorder="1" applyAlignment="1">
      <x:alignment vertical="center" wrapText="1"/>
    </x:xf>
    <x:xf numFmtId="0" fontId="6" fillId="6" borderId="15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0" fontId="7" fillId="0" borderId="16" xfId="0" applyNumberFormat="1" applyFont="1" applyFill="1" applyBorder="1"/>
    <x:xf numFmtId="0" fontId="7" fillId="0" borderId="17" xfId="0" applyNumberFormat="1" applyFont="1" applyFill="1" applyBorder="1"/>
    <x:xf numFmtId="0" fontId="7" fillId="0" borderId="18" xfId="0" applyNumberFormat="1" applyFont="1" applyFill="1" applyBorder="1"/>
    <x:xf numFmtId="0" fontId="7" fillId="0" borderId="19" xfId="0" applyNumberFormat="1" applyFont="1" applyFill="1" applyBorder="1"/>
    <x:xf numFmtId="0" fontId="7" fillId="0" borderId="1" xfId="0" applyNumberFormat="1" applyFont="1" applyFill="1" applyBorder="1"/>
    <x:xf numFmtId="0" fontId="7" fillId="0" borderId="20" xfId="0" applyNumberFormat="1" applyFont="1" applyFill="1" applyBorder="1"/>
    <x:xf numFmtId="0" fontId="7" fillId="0" borderId="21" xfId="0" applyNumberFormat="1" applyFont="1" applyFill="1" applyBorder="1"/>
    <x:xf numFmtId="0" fontId="7" fillId="0" borderId="22" xfId="0" applyNumberFormat="1" applyFont="1" applyFill="1" applyBorder="1"/>
    <x:xf numFmtId="0" fontId="7" fillId="0" borderId="23" xfId="0" applyNumberFormat="1" applyFont="1" applyFill="1" applyBorder="1"/>
    <x:xf numFmtId="0" fontId="7" fillId="0" borderId="16" xfId="0" applyNumberFormat="1" applyFont="1" applyFill="1" applyBorder="1" applyAlignment="1">
      <x:alignment wrapText="1"/>
    </x:xf>
    <x:xf numFmtId="0" fontId="7" fillId="0" borderId="17" xfId="0" applyNumberFormat="1" applyFont="1" applyFill="1" applyBorder="1" applyAlignment="1">
      <x:alignment wrapText="1"/>
    </x:xf>
    <x:xf numFmtId="0" fontId="7" fillId="0" borderId="18" xfId="0" applyNumberFormat="1" applyFont="1" applyFill="1" applyBorder="1" applyAlignment="1">
      <x:alignment wrapText="1"/>
    </x:xf>
    <x:xf numFmtId="0" fontId="7" fillId="0" borderId="19" xfId="0" applyNumberFormat="1" applyFont="1" applyFill="1" applyBorder="1" applyAlignment="1">
      <x:alignment wrapText="1"/>
    </x:xf>
    <x:xf numFmtId="0" fontId="7" fillId="0" borderId="1" xfId="0" applyNumberFormat="1" applyFont="1" applyFill="1" applyBorder="1" applyAlignment="1">
      <x:alignment wrapText="1"/>
    </x:xf>
    <x:xf numFmtId="0" fontId="7" fillId="0" borderId="20" xfId="0" applyNumberFormat="1" applyFont="1" applyFill="1" applyBorder="1" applyAlignment="1">
      <x:alignment wrapText="1"/>
    </x:xf>
    <x:xf numFmtId="0" fontId="7" fillId="0" borderId="21" xfId="0" applyNumberFormat="1" applyFont="1" applyFill="1" applyBorder="1" applyAlignment="1">
      <x:alignment wrapText="1"/>
    </x:xf>
    <x:xf numFmtId="0" fontId="7" fillId="0" borderId="22" xfId="0" applyNumberFormat="1" applyFont="1" applyFill="1" applyBorder="1" applyAlignment="1">
      <x:alignment wrapText="1"/>
    </x:xf>
    <x:xf numFmtId="0" fontId="7" fillId="0" borderId="23" xfId="0" applyNumberFormat="1" applyFont="1" applyFill="1" applyBorder="1" applyAlignment="1">
      <x:alignment wrapText="1"/>
    </x:xf>
    <x:xf numFmtId="0" fontId="7" fillId="0" borderId="16" xfId="0" applyNumberFormat="1" applyFont="1" applyFill="1" applyBorder="1" applyAlignment="1">
      <x:alignment vertical="top" wrapText="1"/>
    </x:xf>
    <x:xf numFmtId="0" fontId="7" fillId="0" borderId="17" xfId="0" applyNumberFormat="1" applyFont="1" applyFill="1" applyBorder="1" applyAlignment="1">
      <x:alignment vertical="top" wrapText="1"/>
    </x:xf>
    <x:xf numFmtId="0" fontId="7" fillId="0" borderId="18" xfId="0" applyNumberFormat="1" applyFont="1" applyFill="1" applyBorder="1" applyAlignment="1">
      <x:alignment vertical="top" wrapText="1"/>
    </x:xf>
    <x:xf numFmtId="0" fontId="7" fillId="0" borderId="19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 applyAlignment="1">
      <x:alignment vertical="top" wrapText="1"/>
    </x:xf>
    <x:xf numFmtId="0" fontId="7" fillId="0" borderId="20" xfId="0" applyNumberFormat="1" applyFont="1" applyFill="1" applyBorder="1" applyAlignment="1">
      <x:alignment vertical="top" wrapText="1"/>
    </x:xf>
    <x:xf numFmtId="0" fontId="7" fillId="0" borderId="21" xfId="0" applyNumberFormat="1" applyFont="1" applyFill="1" applyBorder="1" applyAlignment="1">
      <x:alignment vertical="top" wrapText="1"/>
    </x:xf>
    <x:xf numFmtId="0" fontId="7" fillId="0" borderId="22" xfId="0" applyNumberFormat="1" applyFont="1" applyFill="1" applyBorder="1" applyAlignment="1">
      <x:alignment vertical="top" wrapText="1"/>
    </x:xf>
    <x:xf numFmtId="0" fontId="7" fillId="0" borderId="23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/>
    <x:xf numFmtId="0" fontId="8" fillId="0" borderId="16" xfId="0" applyNumberFormat="1" applyFont="1" applyFill="1" applyBorder="1"/>
    <x:xf numFmtId="0" fontId="8" fillId="0" borderId="17" xfId="0" applyNumberFormat="1" applyFont="1" applyFill="1" applyBorder="1"/>
    <x:xf numFmtId="0" fontId="8" fillId="0" borderId="18" xfId="0" applyNumberFormat="1" applyFont="1" applyFill="1" applyBorder="1"/>
    <x:xf numFmtId="0" fontId="8" fillId="0" borderId="19" xfId="0" applyNumberFormat="1" applyFont="1" applyFill="1" applyBorder="1"/>
    <x:xf numFmtId="0" fontId="8" fillId="0" borderId="1" xfId="0" applyNumberFormat="1" applyFont="1" applyFill="1" applyBorder="1"/>
    <x:xf numFmtId="0" fontId="8" fillId="0" borderId="20" xfId="0" applyNumberFormat="1" applyFont="1" applyFill="1" applyBorder="1"/>
    <x:xf numFmtId="0" fontId="8" fillId="0" borderId="21" xfId="0" applyNumberFormat="1" applyFont="1" applyFill="1" applyBorder="1"/>
    <x:xf numFmtId="0" fontId="8" fillId="0" borderId="22" xfId="0" applyNumberFormat="1" applyFont="1" applyFill="1" applyBorder="1"/>
    <x:xf numFmtId="0" fontId="8" fillId="0" borderId="23" xfId="0" applyNumberFormat="1" applyFont="1" applyFill="1" applyBorder="1"/>
    <x:xf numFmtId="0" fontId="8" fillId="0" borderId="16" xfId="0" applyNumberFormat="1" applyFont="1" applyFill="1" applyBorder="1" applyAlignment="1">
      <x:alignment wrapText="1"/>
    </x:xf>
    <x:xf numFmtId="0" fontId="8" fillId="0" borderId="17" xfId="0" applyNumberFormat="1" applyFont="1" applyFill="1" applyBorder="1" applyAlignment="1">
      <x:alignment wrapText="1"/>
    </x:xf>
    <x:xf numFmtId="0" fontId="8" fillId="0" borderId="18" xfId="0" applyNumberFormat="1" applyFont="1" applyFill="1" applyBorder="1" applyAlignment="1">
      <x:alignment wrapText="1"/>
    </x:xf>
    <x:xf numFmtId="0" fontId="8" fillId="0" borderId="19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wrapText="1"/>
    </x:xf>
    <x:xf numFmtId="0" fontId="8" fillId="0" borderId="20" xfId="0" applyNumberFormat="1" applyFont="1" applyFill="1" applyBorder="1" applyAlignment="1">
      <x:alignment wrapText="1"/>
    </x:xf>
    <x:xf numFmtId="0" fontId="8" fillId="0" borderId="21" xfId="0" applyNumberFormat="1" applyFont="1" applyFill="1" applyBorder="1" applyAlignment="1">
      <x:alignment wrapText="1"/>
    </x:xf>
    <x:xf numFmtId="0" fontId="8" fillId="0" borderId="22" xfId="0" applyNumberFormat="1" applyFont="1" applyFill="1" applyBorder="1" applyAlignment="1">
      <x:alignment wrapText="1"/>
    </x:xf>
    <x:xf numFmtId="0" fontId="8" fillId="0" borderId="23" xfId="0" applyNumberFormat="1" applyFont="1" applyFill="1" applyBorder="1" applyAlignment="1">
      <x:alignment wrapText="1"/>
    </x:xf>
    <x:xf numFmtId="0" fontId="8" fillId="0" borderId="16" xfId="0" applyNumberFormat="1" applyFont="1" applyFill="1" applyBorder="1" applyAlignment="1">
      <x:alignment vertical="top" wrapText="1"/>
    </x:xf>
    <x:xf numFmtId="0" fontId="8" fillId="0" borderId="17" xfId="0" applyNumberFormat="1" applyFont="1" applyFill="1" applyBorder="1" applyAlignment="1">
      <x:alignment vertical="top" wrapText="1"/>
    </x:xf>
    <x:xf numFmtId="0" fontId="8" fillId="0" borderId="18" xfId="0" applyNumberFormat="1" applyFont="1" applyFill="1" applyBorder="1" applyAlignment="1">
      <x:alignment vertical="top" wrapText="1"/>
    </x:xf>
    <x:xf numFmtId="0" fontId="8" fillId="0" borderId="19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20" xfId="0" applyNumberFormat="1" applyFont="1" applyFill="1" applyBorder="1" applyAlignment="1">
      <x:alignment vertical="top" wrapText="1"/>
    </x:xf>
    <x:xf numFmtId="0" fontId="8" fillId="0" borderId="21" xfId="0" applyNumberFormat="1" applyFont="1" applyFill="1" applyBorder="1" applyAlignment="1">
      <x:alignment vertical="top" wrapText="1"/>
    </x:xf>
    <x:xf numFmtId="0" fontId="8" fillId="0" borderId="22" xfId="0" applyNumberFormat="1" applyFont="1" applyFill="1" applyBorder="1" applyAlignment="1">
      <x:alignment vertical="top" wrapText="1"/>
    </x:xf>
    <x:xf numFmtId="0" fontId="8" fillId="0" borderId="23" xfId="0" applyNumberFormat="1" applyFont="1" applyFill="1" applyBorder="1" applyAlignment="1">
      <x:alignment vertical="top" wrapText="1"/>
    </x:xf>
    <x:xf numFmtId="201" fontId="7" fillId="0" borderId="17" xfId="0" applyNumberFormat="1" applyFont="1" applyFill="1" applyBorder="1" applyAlignment="1">
      <x:alignment vertical="top" wrapText="1"/>
    </x:xf>
    <x:xf numFmtId="202" fontId="7" fillId="0" borderId="1" xfId="0" applyNumberFormat="1" applyFont="1" applyFill="1" applyBorder="1" applyAlignment="1">
      <x:alignment vertical="top" wrapText="1"/>
    </x:xf>
    <x:xf numFmtId="201" fontId="7" fillId="0" borderId="1" xfId="0" applyNumberFormat="1" applyFont="1" applyFill="1" applyBorder="1" applyAlignment="1">
      <x:alignment vertical="top" wrapText="1"/>
    </x:xf>
    <x:xf numFmtId="203" fontId="7" fillId="0" borderId="22" xfId="0" applyNumberFormat="1" applyFont="1" applyFill="1" applyBorder="1" applyAlignment="1">
      <x:alignment vertical="top" wrapText="1"/>
    </x:xf>
  </x:cellXfs>
  <x:cellStyles count="1">
    <x:cellStyle name="Normal" xfId="0"/>
  </x:cellStyles>
  <x:dxfs count="18">
    <x:dxf>
      <x:font>
        <x:b/>
        <x:color rgb="FF1F6B3A"/>
      </x:font>
      <x:fill>
        <x:patternFill patternType="solid">
          <x:bgColor rgb="FFDDEFE4"/>
        </x:patternFill>
      </x:fill>
    </x:dxf>
    <x:dxf>
      <x:font>
        <x:b/>
        <x:color rgb="FF1F6B3A"/>
      </x:font>
      <x:fill>
        <x:patternFill patternType="solid">
          <x:bgColor rgb="FFDDEFE4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  <x:dxf>
      <x:font>
        <x:b/>
        <x:color rgb="FF9A2C2C"/>
      </x:font>
      <x:fill>
        <x:patternFill patternType="solid">
          <x:bgColor rgb="FFFBE1E1"/>
        </x:patternFill>
      </x:fill>
    </x:dxf>
    <x:dxf>
      <x:font>
        <x:b/>
        <x:color rgb="FF1F6B3A"/>
      </x:font>
      <x:fill>
        <x:patternFill patternType="solid">
          <x:bgColor rgb="FFDDEFE4"/>
        </x:patternFill>
      </x:fill>
    </x:dxf>
    <x:dxf>
      <x:font>
        <x:b/>
        <x:color rgb="FF1F6B3A"/>
      </x:font>
      <x:fill>
        <x:patternFill patternType="solid">
          <x:bgColor rgb="FFDDEFE4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  <x:dxf>
      <x:font>
        <x:b/>
        <x:color rgb="FF9A2C2C"/>
      </x:font>
      <x:fill>
        <x:patternFill patternType="solid">
          <x:bgColor rgb="FFFBE1E1"/>
        </x:patternFill>
      </x:fill>
    </x:dxf>
    <x:dxf>
      <x:font>
        <x:b/>
        <x:color rgb="FF1F6B3A"/>
      </x:font>
      <x:fill>
        <x:patternFill patternType="solid">
          <x:bgColor rgb="FFDDEFE4"/>
        </x:patternFill>
      </x:fill>
    </x:dxf>
    <x:dxf>
      <x:font>
        <x:b/>
        <x:color rgb="FF1F6B3A"/>
      </x:font>
      <x:fill>
        <x:patternFill patternType="solid">
          <x:bgColor rgb="FFDDEFE4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  <x:dxf>
      <x:font>
        <x:b/>
        <x:color rgb="FF9A2C2C"/>
      </x:font>
      <x:fill>
        <x:patternFill patternType="solid">
          <x:bgColor rgb="FFFBE1E1"/>
        </x:patternFill>
      </x:fill>
    </x:dxf>
    <x:dxf>
      <x:font>
        <x:b/>
        <x:color rgb="FF1F6B3A"/>
      </x:font>
      <x:fill>
        <x:patternFill patternType="solid">
          <x:bgColor rgb="FFDDEFE4"/>
        </x:patternFill>
      </x:fill>
    </x:dxf>
    <x:dxf>
      <x:font>
        <x:b/>
        <x:color rgb="FF8A5A00"/>
      </x:font>
      <x:fill>
        <x:patternFill patternType="solid">
          <x:bgColor rgb="FFFFF0CC"/>
        </x:patternFill>
      </x:fill>
    </x:dxf>
    <x:dxf>
      <x:font>
        <x:b/>
        <x:color rgb="FF9A2C2C"/>
      </x:font>
      <x:fill>
        <x:patternFill patternType="solid">
          <x:bgColor rgb="FFFB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3205dd0e0044b5" /><Relationship Type="http://schemas.openxmlformats.org/officeDocument/2006/relationships/theme" Target="/xl/theme/theme1.xml" Id="Rd6f8092df7ac4b6a" /><Relationship Type="http://schemas.openxmlformats.org/officeDocument/2006/relationships/sharedStrings" Target="/xl/sharedStrings.xml" Id="R6a161784d3f844cf" /><Relationship Type="http://schemas.openxmlformats.org/officeDocument/2006/relationships/worksheet" Target="/xl/worksheets/sheet1.xml" Id="Rbf6e16911d9d4110" /><Relationship Type="http://schemas.openxmlformats.org/officeDocument/2006/relationships/worksheet" Target="/xl/worksheets/sheet2.xml" Id="Rd41474efbdba4e98" /><Relationship Type="http://schemas.openxmlformats.org/officeDocument/2006/relationships/worksheet" Target="/xl/worksheets/sheet3.xml" Id="R2c8aec20be9e45c1" /><Relationship Type="http://schemas.openxmlformats.org/officeDocument/2006/relationships/worksheet" Target="/xl/worksheets/sheet4.xml" Id="Rcf0fe2ee00b74ebf" /><Relationship Type="http://schemas.openxmlformats.org/officeDocument/2006/relationships/worksheet" Target="/xl/worksheets/sheet5.xml" Id="R73d3cbd6b9e74d87" /></Relationships>
</file>

<file path=xl/tables/table1.xml><?xml version="1.0" encoding="utf-8"?>
<x:table xmlns:x="http://schemas.openxmlformats.org/spreadsheetml/2006/main" id="1" name="RequirementsTraceabilityTable" displayName="RequirementsTraceabilityTable" ref="A5:J33" headerRowCount="1" totalsRowCount="0" totalsRowShown="0">
  <x:tableColumns count="10">
    <x:tableColumn id="1" name="Requirement ID"/>
    <x:tableColumn id="2" name="Type"/>
    <x:tableColumn id="3" name="Requirement"/>
    <x:tableColumn id="4" name="Priority"/>
    <x:tableColumn id="5" name="Owner"/>
    <x:tableColumn id="6" name="Implementation evidence"/>
    <x:tableColumn id="7" name="Dashboard / output"/>
    <x:tableColumn id="8" name="UAT ID"/>
    <x:tableColumn id="9" name="Status"/>
    <x:tableColumn id="10" name="Production gap /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ATCasesTable" displayName="UATCasesTable" ref="A5:L27" headerRowCount="1" totalsRowCount="0" totalsRowShown="0">
  <x:tableColumns count="12">
    <x:tableColumn id="1" name="Test ID"/>
    <x:tableColumn id="2" name="Requirement ID(s)"/>
    <x:tableColumn id="3" name="Scenario"/>
    <x:tableColumn id="4" name="Preconditions"/>
    <x:tableColumn id="5" name="Test steps"/>
    <x:tableColumn id="6" name="Expected result"/>
    <x:tableColumn id="7" name="Actual result"/>
    <x:tableColumn id="8" name="Evidence"/>
    <x:tableColumn id="9" name="Owner"/>
    <x:tableColumn id="10" name="Priority"/>
    <x:tableColumn id="11" name="Status"/>
    <x:tableColumn id="12" name="Defect / decis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PICatalogTable" displayName="KPICatalogTable" ref="A5:J11" headerRowCount="1" totalsRowCount="0" totalsRowShown="0">
  <x:tableColumns count="10">
    <x:tableColumn id="1" name="KPI"/>
    <x:tableColumn id="2" name="Business question"/>
    <x:tableColumn id="3" name="Business definition"/>
    <x:tableColumn id="4" name="Formula"/>
    <x:tableColumn id="5" name="Grain"/>
    <x:tableColumn id="6" name="Inclusions / exclusions"/>
    <x:tableColumn id="7" name="Owner"/>
    <x:tableColumn id="8" name="Implementation"/>
    <x:tableColumn id="9" name="Current result"/>
    <x:tableColumn id="10" name="Production 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cisionLogTable" displayName="DecisionLogTable" ref="A5:F16" headerRowCount="1" totalsRowCount="0" totalsRowShown="0">
  <x:tableColumns count="6">
    <x:tableColumn id="1" name="Decision ID"/>
    <x:tableColumn id="2" name="Decision"/>
    <x:tableColumn id="3" name="Status"/>
    <x:tableColumn id="4" name="Rationale"/>
    <x:tableColumn id="5" name="Trade-off / follow-up"/>
    <x:tableColumn id="6" name="Owne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d399ca804204a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081fd7d38d946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2e6256ddf24b3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b13b767108d4d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4" hidden="0" customWidth="1"/>
    <x:col min="4" max="4" width="24" hidden="0" customWidth="1"/>
    <x:col min="5" max="5" width="16" hidden="0" customWidth="1"/>
    <x:col min="6" max="6" width="4" hidden="0" customWidth="1"/>
    <x:col min="7" max="7" width="25" hidden="0" customWidth="1"/>
    <x:col min="8" max="8" width="16" hidden="0" customWidth="1"/>
  </x:cols>
  <x:sheetData>
    <x:row r="1" ht="34" customHeight="1">
      <x:c r="A1" s="3" t="str">
        <x:v>Supplier Risk Analytics — BA Control Workbook</x:v>
      </x:c>
      <x:c r="B1" s="3"/>
      <x:c r="C1" s="3"/>
      <x:c r="D1" s="3"/>
      <x:c r="E1" s="3"/>
      <x:c r="F1" s="3"/>
      <x:c r="G1" s="3"/>
      <x:c r="H1" s="3"/>
    </x:row>
    <x:row r="2" ht="30" customHeight="1">
      <x:c r="A2" s="7" t="str">
        <x:v>Requirements traceability, KPI definitions, UAT evidence, and open production decisions</x:v>
      </x:c>
      <x:c r="B2" s="7"/>
      <x:c r="C2" s="7"/>
      <x:c r="D2" s="7"/>
      <x:c r="E2" s="7"/>
      <x:c r="F2" s="7"/>
      <x:c r="G2" s="7"/>
      <x:c r="H2" s="7"/>
    </x:row>
    <x:row r="4">
      <x:c r="A4" s="10" t="str">
        <x:v>Requirements</x:v>
      </x:c>
      <x:c r="B4" s="10"/>
      <x:c r="D4" s="10" t="str">
        <x:v>UAT</x:v>
      </x:c>
      <x:c r="E4" s="10"/>
      <x:c r="G4" s="10" t="str">
        <x:v>Synthetic scenario</x:v>
      </x:c>
      <x:c r="H4" s="10"/>
    </x:row>
    <x:row r="5">
      <x:c r="A5" s="14" t="str">
        <x:v>Total requirements</x:v>
      </x:c>
      <x:c r="B5" s="15" t="n">
        <x:f>COUNTA('Traceability'!A6:A40)</x:f>
        <x:v>28</x:v>
      </x:c>
      <x:c r="D5" s="14" t="str">
        <x:v>Total test cases</x:v>
      </x:c>
      <x:c r="E5" s="15" t="n">
        <x:f>COUNTA('UAT Test Cases'!A6:A40)</x:f>
        <x:v>22</x:v>
      </x:c>
      <x:c r="G5" s="14" t="str">
        <x:v>Suppliers</x:v>
      </x:c>
      <x:c r="H5" s="15" t="n">
        <x:v>29</x:v>
      </x:c>
    </x:row>
    <x:row r="6">
      <x:c r="A6" s="14" t="str">
        <x:v>Implemented</x:v>
      </x:c>
      <x:c r="B6" s="15" t="n">
        <x:f>COUNTIF('Traceability'!I6:I40,"Implemented")</x:f>
        <x:v>20</x:v>
      </x:c>
      <x:c r="D6" s="14" t="str">
        <x:v>Passed</x:v>
      </x:c>
      <x:c r="E6" s="15" t="n">
        <x:f>COUNTIF('UAT Test Cases'!K6:K40,"Pass")</x:f>
        <x:v>17</x:v>
      </x:c>
      <x:c r="G6" s="14" t="str">
        <x:v>Purchase-order lines</x:v>
      </x:c>
      <x:c r="H6" s="15" t="n">
        <x:v>9000</x:v>
      </x:c>
    </x:row>
    <x:row r="7">
      <x:c r="A7" s="14" t="str">
        <x:v>Planned</x:v>
      </x:c>
      <x:c r="B7" s="15" t="n">
        <x:f>COUNTIF('Traceability'!I6:I40,"Planned")</x:f>
        <x:v>8</x:v>
      </x:c>
      <x:c r="D7" s="14" t="str">
        <x:v>Not run</x:v>
      </x:c>
      <x:c r="E7" s="15" t="n">
        <x:f>COUNTIF('UAT Test Cases'!K6:K40,"Not Run")</x:f>
        <x:v>5</x:v>
      </x:c>
      <x:c r="G7" s="14" t="str">
        <x:v>Delivered lines</x:v>
      </x:c>
      <x:c r="H7" s="15" t="n">
        <x:v>8100</x:v>
      </x:c>
    </x:row>
    <x:row r="8">
      <x:c r="A8" s="14" t="str">
        <x:v>UAT-linked coverage</x:v>
      </x:c>
      <x:c r="B8" s="16" t="n">
        <x:f>COUNTIF('Traceability'!H6:H40,"&lt;&gt;")/B5</x:f>
        <x:v>1</x:v>
      </x:c>
      <x:c r="D8" s="14" t="str">
        <x:v>Pass rate</x:v>
      </x:c>
      <x:c r="E8" s="16" t="n">
        <x:f>E6/E5</x:f>
        <x:v>0.7727272727272727</x:v>
      </x:c>
      <x:c r="G8" s="14" t="str">
        <x:v>Inspection records</x:v>
      </x:c>
      <x:c r="H8" s="15" t="n">
        <x:v>8100</x:v>
      </x:c>
    </x:row>
    <x:row r="11">
      <x:c r="A11" s="18" t="str">
        <x:v>How to use this workbook</x:v>
      </x:c>
      <x:c r="B11" s="18"/>
      <x:c r="C11" s="18"/>
      <x:c r="D11" s="18"/>
      <x:c r="E11" s="18"/>
      <x:c r="F11" s="18"/>
      <x:c r="G11" s="18"/>
      <x:c r="H11" s="18"/>
    </x:row>
    <x:row r="12" ht="28" customHeight="1">
      <x:c r="A12" s="22" t="str">
        <x:v>1. Traceability: confirm every requirement has an owner, implementation reference, output, and test case.</x:v>
      </x:c>
      <x:c r="B12" s="22"/>
      <x:c r="C12" s="22"/>
      <x:c r="D12" s="22"/>
      <x:c r="E12" s="22"/>
      <x:c r="F12" s="22"/>
      <x:c r="G12" s="22"/>
      <x:c r="H12" s="22"/>
    </x:row>
    <x:row r="13" ht="28" customHeight="1">
      <x:c r="A13" s="24" t="str">
        <x:v>2. UAT Test Cases: review expected versus actual evidence; production-only tests remain Not Run.</x:v>
      </x:c>
      <x:c r="B13" s="24"/>
      <x:c r="C13" s="24"/>
      <x:c r="D13" s="24"/>
      <x:c r="E13" s="24"/>
      <x:c r="F13" s="24"/>
      <x:c r="G13" s="24"/>
      <x:c r="H13" s="24"/>
    </x:row>
    <x:row r="14" ht="28" customHeight="1">
      <x:c r="A14" s="22" t="str">
        <x:v>3. KPI Catalog: use the business definition—not only the formula—when explaining each measure.</x:v>
      </x:c>
      <x:c r="B14" s="22"/>
      <x:c r="C14" s="22"/>
      <x:c r="D14" s="22"/>
      <x:c r="E14" s="22"/>
      <x:c r="F14" s="22"/>
      <x:c r="G14" s="22"/>
      <x:c r="H14" s="22"/>
    </x:row>
    <x:row r="15" ht="28" customHeight="1">
      <x:c r="A15" s="24" t="str">
        <x:v>4. Decision Log: resolve open terminology, threshold, refresh, and security decisions before production.</x:v>
      </x:c>
      <x:c r="B15" s="24"/>
      <x:c r="C15" s="24"/>
      <x:c r="D15" s="24"/>
      <x:c r="E15" s="24"/>
      <x:c r="F15" s="24"/>
      <x:c r="G15" s="24"/>
      <x:c r="H15" s="24"/>
    </x:row>
    <x:row r="18">
      <x:c r="A18" s="18" t="str">
        <x:v>Status interpretation</x:v>
      </x:c>
      <x:c r="B18" s="18"/>
      <x:c r="C18" s="18"/>
      <x:c r="D18" s="18"/>
      <x:c r="E18" s="18"/>
      <x:c r="F18" s="18"/>
      <x:c r="G18" s="18"/>
      <x:c r="H18" s="18"/>
    </x:row>
    <x:row r="19" ht="28" customHeight="1">
      <x:c r="A19" s="32" t="str">
        <x:v>Implemented</x:v>
      </x:c>
      <x:c r="B19" s="33" t="str">
        <x:v>Present in the current prototype and supported by implementation evidence.</x:v>
      </x:c>
      <x:c r="C19" s="33"/>
      <x:c r="D19" s="33"/>
      <x:c r="E19" s="33"/>
      <x:c r="F19" s="33"/>
      <x:c r="G19" s="33"/>
      <x:c r="H19" s="34"/>
    </x:row>
    <x:row r="20" ht="28" customHeight="1">
      <x:c r="A20" s="32" t="str">
        <x:v>Planned</x:v>
      </x:c>
      <x:c r="B20" s="33" t="str">
        <x:v>Needed for a stronger dashboard or production release; not claimed as implemented.</x:v>
      </x:c>
      <x:c r="C20" s="33"/>
      <x:c r="D20" s="33"/>
      <x:c r="E20" s="33"/>
      <x:c r="F20" s="33"/>
      <x:c r="G20" s="33"/>
      <x:c r="H20" s="34"/>
    </x:row>
    <x:row r="21" ht="28" customHeight="1">
      <x:c r="A21" s="32" t="str">
        <x:v>Pass</x:v>
      </x:c>
      <x:c r="B21" s="33" t="str">
        <x:v>Observed output matches the expected prototype result.</x:v>
      </x:c>
      <x:c r="C21" s="33"/>
      <x:c r="D21" s="33"/>
      <x:c r="E21" s="33"/>
      <x:c r="F21" s="33"/>
      <x:c r="G21" s="33"/>
      <x:c r="H21" s="34"/>
    </x:row>
    <x:row r="22" ht="28" customHeight="1">
      <x:c r="A22" s="32" t="str">
        <x:v>Not Run</x:v>
      </x:c>
      <x:c r="B22" s="33" t="str">
        <x:v>Test depends on future functionality, real data, or stakeholder approval.</x:v>
      </x:c>
      <x:c r="C22" s="33"/>
      <x:c r="D22" s="33"/>
      <x:c r="E22" s="33"/>
      <x:c r="F22" s="33"/>
      <x:c r="G22" s="33"/>
      <x:c r="H22" s="34"/>
    </x:row>
    <x:row r="23" ht="28" customHeight="1">
      <x:c r="A23" s="32" t="str">
        <x:v>Open decision</x:v>
      </x:c>
      <x:c r="B23" s="33" t="str">
        <x:v>A business owner must approve the definition or control before production.</x:v>
      </x:c>
      <x:c r="C23" s="33"/>
      <x:c r="D23" s="33"/>
      <x:c r="E23" s="33"/>
      <x:c r="F23" s="33"/>
      <x:c r="G23" s="33"/>
      <x:c r="H23" s="34"/>
    </x:row>
    <x:row r="26">
      <x:c r="A26" s="9" t="str">
        <x:v>Disclosure</x:v>
      </x:c>
      <x:c r="B26" s="9"/>
      <x:c r="C26" s="9"/>
      <x:c r="D26" s="9"/>
      <x:c r="E26" s="9"/>
      <x:c r="F26" s="9"/>
      <x:c r="G26" s="9"/>
      <x:c r="H26" s="9"/>
    </x:row>
    <x:row r="27">
      <x:c r="A27" s="54" t="str">
        <x:v>Supplier, project, and product reference records come from a NIST sample dataset. Purchase orders, order lines, prices, delivery outcomes, and inspections are deterministic synthetic records. Results demonstrate analytical logic and business-analysis practice; they are not measured company performance or realized business impact.</x:v>
      </x:c>
      <x:c r="B27" s="55"/>
      <x:c r="C27" s="55"/>
      <x:c r="D27" s="55"/>
      <x:c r="E27" s="55"/>
      <x:c r="F27" s="55"/>
      <x:c r="G27" s="55"/>
      <x:c r="H27" s="56"/>
    </x:row>
    <x:row r="28">
      <x:c r="A28" s="57"/>
      <x:c r="B28" s="58"/>
      <x:c r="C28" s="58"/>
      <x:c r="D28" s="58"/>
      <x:c r="E28" s="58"/>
      <x:c r="F28" s="58"/>
      <x:c r="G28" s="58"/>
      <x:c r="H28" s="59"/>
    </x:row>
    <x:row r="29">
      <x:c r="A29" s="60"/>
      <x:c r="B29" s="61"/>
      <x:c r="C29" s="61"/>
      <x:c r="D29" s="61"/>
      <x:c r="E29" s="61"/>
      <x:c r="F29" s="61"/>
      <x:c r="G29" s="61"/>
      <x:c r="H29" s="62"/>
    </x:row>
  </x:sheetData>
  <x:mergeCells>
    <x:mergeCell ref="A1:H1"/>
    <x:mergeCell ref="A2:H2"/>
    <x:mergeCell ref="A4:B4"/>
    <x:mergeCell ref="D4:E4"/>
    <x:mergeCell ref="G4:H4"/>
    <x:mergeCell ref="A11:H11"/>
    <x:mergeCell ref="A12:H12"/>
    <x:mergeCell ref="A13:H13"/>
    <x:mergeCell ref="A14:H14"/>
    <x:mergeCell ref="A15:H15"/>
    <x:mergeCell ref="A18:H18"/>
    <x:mergeCell ref="B19:H19"/>
    <x:mergeCell ref="B20:H20"/>
    <x:mergeCell ref="B21:H21"/>
    <x:mergeCell ref="B22:H22"/>
    <x:mergeCell ref="B23:H23"/>
    <x:mergeCell ref="A26:H26"/>
    <x:mergeCell ref="A27:H29"/>
  </x:mergeCells>
  <x:conditionalFormatting sqref="A19:A23">
    <x:cfRule type="containsText" dxfId="0" priority="1" operator="containsText" text="Pass"/>
    <x:cfRule type="containsText" dxfId="1" priority="2" operator="containsText" text="Implemented"/>
    <x:cfRule type="containsText" dxfId="2" priority="3" operator="containsText" text="Planned"/>
    <x:cfRule type="containsText" dxfId="3" priority="4" operator="containsText" text="Not Run"/>
    <x:cfRule type="containsText" dxfId="4" priority="5" operator="containsText" text="Fail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6" hidden="0" customWidth="1"/>
    <x:col min="3" max="3" width="46" hidden="0" customWidth="1"/>
    <x:col min="4" max="4" width="20" hidden="0" customWidth="1"/>
    <x:col min="5" max="5" width="24" hidden="0" customWidth="1"/>
    <x:col min="6" max="6" width="36" hidden="0" customWidth="1"/>
    <x:col min="7" max="7" width="30" hidden="0" customWidth="1"/>
    <x:col min="8" max="8" width="20" hidden="0" customWidth="1"/>
    <x:col min="9" max="9" width="16" hidden="0" customWidth="1"/>
    <x:col min="10" max="10" width="40" hidden="0" customWidth="1"/>
  </x:cols>
  <x:sheetData>
    <x:row r="1" ht="34" customHeight="1">
      <x:c r="A1" s="3" t="str">
        <x:v>Requirements Traceability Matrix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Links business needs to implementation evidence, outputs, UAT, and remaining production work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4" customHeight="1">
      <x:c r="A5" s="70" t="str">
        <x:v>Requirement ID</x:v>
      </x:c>
      <x:c r="B5" s="71" t="str">
        <x:v>Type</x:v>
      </x:c>
      <x:c r="C5" s="71" t="str">
        <x:v>Requirement</x:v>
      </x:c>
      <x:c r="D5" s="71" t="str">
        <x:v>Priority</x:v>
      </x:c>
      <x:c r="E5" s="71" t="str">
        <x:v>Owner</x:v>
      </x:c>
      <x:c r="F5" s="71" t="str">
        <x:v>Implementation evidence</x:v>
      </x:c>
      <x:c r="G5" s="71" t="str">
        <x:v>Dashboard / output</x:v>
      </x:c>
      <x:c r="H5" s="71" t="str">
        <x:v>UAT ID</x:v>
      </x:c>
      <x:c r="I5" s="71" t="str">
        <x:v>Status</x:v>
      </x:c>
      <x:c r="J5" s="72" t="str">
        <x:v>Production gap / note</x:v>
      </x:c>
    </x:row>
    <x:row r="6" ht="52" customHeight="1">
      <x:c r="A6" s="92" t="str">
        <x:v>BR-001</x:v>
      </x:c>
      <x:c r="B6" s="93" t="str">
        <x:v>Business</x:v>
      </x:c>
      <x:c r="C6" s="93" t="str">
        <x:v>Provide one consolidated view of supplier ordered value, delivery, quality, and open-order exposure.</x:v>
      </x:c>
      <x:c r="D6" s="93" t="str">
        <x:v>Must</x:v>
      </x:c>
      <x:c r="E6" s="93" t="str">
        <x:v>Procurement Manager</x:v>
      </x:c>
      <x:c r="F6" s="93" t="str">
        <x:v>purchase_order_analysis; supplier_performance</x:v>
      </x:c>
      <x:c r="G6" s="93" t="str">
        <x:v>Dashboard KPIs and supplier view</x:v>
      </x:c>
      <x:c r="H6" s="93" t="str">
        <x:v>UAT-004,UAT-005,UAT-006,UAT-007</x:v>
      </x:c>
      <x:c r="I6" s="93" t="str">
        <x:v>Implemented</x:v>
      </x:c>
      <x:c r="J6" s="94" t="str">
        <x:v>Connect to governed production sources.</x:v>
      </x:c>
    </x:row>
    <x:row r="7" ht="52" customHeight="1">
      <x:c r="A7" s="95" t="str">
        <x:v>BR-002</x:v>
      </x:c>
      <x:c r="B7" s="96" t="str">
        <x:v>Business</x:v>
      </x:c>
      <x:c r="C7" s="96" t="str">
        <x:v>Enable supplier comparison using consistent definitions.</x:v>
      </x:c>
      <x:c r="D7" s="96" t="str">
        <x:v>Must</x:v>
      </x:c>
      <x:c r="E7" s="96" t="str">
        <x:v>Procurement Manager</x:v>
      </x:c>
      <x:c r="F7" s="96" t="str">
        <x:v>supplier_performance</x:v>
      </x:c>
      <x:c r="G7" s="96" t="str">
        <x:v>Supplier performance view</x:v>
      </x:c>
      <x:c r="H7" s="96" t="str">
        <x:v>UAT-003,UAT-012</x:v>
      </x:c>
      <x:c r="I7" s="96" t="str">
        <x:v>Implemented</x:v>
      </x:c>
      <x:c r="J7" s="97" t="str">
        <x:v>Add approved segmentation and minimum-volume rules.</x:v>
      </x:c>
    </x:row>
    <x:row r="8" ht="52" customHeight="1">
      <x:c r="A8" s="95" t="str">
        <x:v>BR-003</x:v>
      </x:c>
      <x:c r="B8" s="96" t="str">
        <x:v>Business</x:v>
      </x:c>
      <x:c r="C8" s="96" t="str">
        <x:v>Preserve transparent KPI definitions and limitations.</x:v>
      </x:c>
      <x:c r="D8" s="96" t="str">
        <x:v>Must</x:v>
      </x:c>
      <x:c r="E8" s="96" t="str">
        <x:v>Functional Owners</x:v>
      </x:c>
      <x:c r="F8" s="96" t="str">
        <x:v>README; methodology; BA documentation</x:v>
      </x:c>
      <x:c r="G8" s="96" t="str">
        <x:v>KPI labels and documentation</x:v>
      </x:c>
      <x:c r="H8" s="96" t="str">
        <x:v>UAT-016,UAT-017</x:v>
      </x:c>
      <x:c r="I8" s="96" t="str">
        <x:v>Implemented</x:v>
      </x:c>
      <x:c r="J8" s="97" t="str">
        <x:v>Obtain formal business sign-off.</x:v>
      </x:c>
    </x:row>
    <x:row r="9" ht="52" customHeight="1">
      <x:c r="A9" s="95" t="str">
        <x:v>FR-001</x:v>
      </x:c>
      <x:c r="B9" s="96" t="str">
        <x:v>Functional</x:v>
      </x:c>
      <x:c r="C9" s="96" t="str">
        <x:v>Calculate ordered line value as ordered quantity multiplied by unit price.</x:v>
      </x:c>
      <x:c r="D9" s="96" t="str">
        <x:v>Must</x:v>
      </x:c>
      <x:c r="E9" s="96" t="str">
        <x:v>Finance Manager</x:v>
      </x:c>
      <x:c r="F9" s="96" t="str">
        <x:v>purchase_order_analysis.order_line_value</x:v>
      </x:c>
      <x:c r="G9" s="96" t="str">
        <x:v>Total ordered value</x:v>
      </x:c>
      <x:c r="H9" s="96" t="str">
        <x:v>UAT-004</x:v>
      </x:c>
      <x:c r="I9" s="96" t="str">
        <x:v>Implemented</x:v>
      </x:c>
      <x:c r="J9" s="97" t="str">
        <x:v>Decide whether to exclude cancelled/open lines.</x:v>
      </x:c>
    </x:row>
    <x:row r="10" ht="52" customHeight="1">
      <x:c r="A10" s="95" t="str">
        <x:v>FR-002</x:v>
      </x:c>
      <x:c r="B10" s="96" t="str">
        <x:v>Functional</x:v>
      </x:c>
      <x:c r="C10" s="96" t="str">
        <x:v>Calculate on-time delivery only for delivered lines; on or before promise is on time.</x:v>
      </x:c>
      <x:c r="D10" s="96" t="str">
        <x:v>Must</x:v>
      </x:c>
      <x:c r="E10" s="96" t="str">
        <x:v>Operations Planner</x:v>
      </x:c>
      <x:c r="F10" s="96" t="str">
        <x:v>purchase_order_analysis.is_on_time</x:v>
      </x:c>
      <x:c r="G10" s="96" t="str">
        <x:v>On-time delivery KPI</x:v>
      </x:c>
      <x:c r="H10" s="96" t="str">
        <x:v>UAT-005,UAT-014</x:v>
      </x:c>
      <x:c r="I10" s="96" t="str">
        <x:v>Implemented</x:v>
      </x:c>
      <x:c r="J10" s="97" t="str">
        <x:v>Define partial receipts, cut-off time, and timezone rules.</x:v>
      </x:c>
    </x:row>
    <x:row r="11" ht="52" customHeight="1">
      <x:c r="A11" s="95" t="str">
        <x:v>FR-003</x:v>
      </x:c>
      <x:c r="B11" s="96" t="str">
        <x:v>Functional</x:v>
      </x:c>
      <x:c r="C11" s="96" t="str">
        <x:v>Calculate weighted defect rate as rejected units divided by inspected units.</x:v>
      </x:c>
      <x:c r="D11" s="96" t="str">
        <x:v>Must</x:v>
      </x:c>
      <x:c r="E11" s="96" t="str">
        <x:v>Quality Manager</x:v>
      </x:c>
      <x:c r="F11" s="96" t="str">
        <x:v>supplier_performance.defect_rate_pct</x:v>
      </x:c>
      <x:c r="G11" s="96" t="str">
        <x:v>Defect-rate KPI</x:v>
      </x:c>
      <x:c r="H11" s="96" t="str">
        <x:v>UAT-006,UAT-015</x:v>
      </x:c>
      <x:c r="I11" s="96" t="str">
        <x:v>Implemented</x:v>
      </x:c>
      <x:c r="J11" s="97" t="str">
        <x:v>Add volume thresholds and product criticality.</x:v>
      </x:c>
    </x:row>
    <x:row r="12" ht="52" customHeight="1">
      <x:c r="A12" s="95" t="str">
        <x:v>FR-004</x:v>
      </x:c>
      <x:c r="B12" s="96" t="str">
        <x:v>Functional</x:v>
      </x:c>
      <x:c r="C12" s="96" t="str">
        <x:v>Calculate open-order exposure only for OPEN purchase orders.</x:v>
      </x:c>
      <x:c r="D12" s="96" t="str">
        <x:v>Must</x:v>
      </x:c>
      <x:c r="E12" s="96" t="str">
        <x:v>Finance / Procurement</x:v>
      </x:c>
      <x:c r="F12" s="96" t="str">
        <x:v>purchase_order_analysis.open_order_exposure</x:v>
      </x:c>
      <x:c r="G12" s="96" t="str">
        <x:v>Open-exposure KPI</x:v>
      </x:c>
      <x:c r="H12" s="96" t="str">
        <x:v>UAT-007</x:v>
      </x:c>
      <x:c r="I12" s="96" t="str">
        <x:v>Implemented</x:v>
      </x:c>
      <x:c r="J12" s="97" t="str">
        <x:v>Decide whether to use only undelivered value.</x:v>
      </x:c>
    </x:row>
    <x:row r="13" ht="52" customHeight="1">
      <x:c r="A13" s="95" t="str">
        <x:v>FR-005</x:v>
      </x:c>
      <x:c r="B13" s="96" t="str">
        <x:v>Functional</x:v>
      </x:c>
      <x:c r="C13" s="96" t="str">
        <x:v>Provide one row per order line and one summary row per supplier.</x:v>
      </x:c>
      <x:c r="D13" s="96" t="str">
        <x:v>Must</x:v>
      </x:c>
      <x:c r="E13" s="96" t="str">
        <x:v>Procurement / Data Analyst</x:v>
      </x:c>
      <x:c r="F13" s="96" t="str">
        <x:v>purchase_order_analysis; supplier_performance</x:v>
      </x:c>
      <x:c r="G13" s="96" t="str">
        <x:v>Detail and supplier outputs</x:v>
      </x:c>
      <x:c r="H13" s="96" t="str">
        <x:v>UAT-001,UAT-002,UAT-003</x:v>
      </x:c>
      <x:c r="I13" s="96" t="str">
        <x:v>Implemented</x:v>
      </x:c>
      <x:c r="J13" s="97" t="str">
        <x:v>Add certified semantic definitions.</x:v>
      </x:c>
    </x:row>
    <x:row r="14" ht="52" customHeight="1">
      <x:c r="A14" s="95" t="str">
        <x:v>FR-006</x:v>
      </x:c>
      <x:c r="B14" s="96" t="str">
        <x:v>Functional</x:v>
      </x:c>
      <x:c r="C14" s="96" t="str">
        <x:v>Provide monthly ordered-value trend and supplier comparison.</x:v>
      </x:c>
      <x:c r="D14" s="96" t="str">
        <x:v>Should</x:v>
      </x:c>
      <x:c r="E14" s="96" t="str">
        <x:v>Procurement / Sponsor</x:v>
      </x:c>
      <x:c r="F14" s="96" t="str">
        <x:v>purchase_order_analysis; supplier_performance</x:v>
      </x:c>
      <x:c r="G14" s="96" t="str">
        <x:v>Tableau trend and supplier views</x:v>
      </x:c>
      <x:c r="H14" s="96" t="str">
        <x:v>UAT-013</x:v>
      </x:c>
      <x:c r="I14" s="96" t="str">
        <x:v>Implemented</x:v>
      </x:c>
      <x:c r="J14" s="97" t="str">
        <x:v>Complete usability testing and drill-down design.</x:v>
      </x:c>
    </x:row>
    <x:row r="15" ht="52" customHeight="1">
      <x:c r="A15" s="95" t="str">
        <x:v>FR-007</x:v>
      </x:c>
      <x:c r="B15" s="96" t="str">
        <x:v>Functional</x:v>
      </x:c>
      <x:c r="C15" s="96" t="str">
        <x:v>Calculate price variance against standard unit price.</x:v>
      </x:c>
      <x:c r="D15" s="96" t="str">
        <x:v>Should</x:v>
      </x:c>
      <x:c r="E15" s="96" t="str">
        <x:v>Finance / Buyer</x:v>
      </x:c>
      <x:c r="F15" s="96" t="str">
        <x:v>purchase_order_analysis.price_variance_amount</x:v>
      </x:c>
      <x:c r="G15" s="96" t="str">
        <x:v>Mart field</x:v>
      </x:c>
      <x:c r="H15" s="96" t="str">
        <x:v>UAT-018</x:v>
      </x:c>
      <x:c r="I15" s="96" t="str">
        <x:v>Implemented</x:v>
      </x:c>
      <x:c r="J15" s="97" t="str">
        <x:v>Agree favorable/unfavorable display and tolerance.</x:v>
      </x:c>
    </x:row>
    <x:row r="16" ht="52" customHeight="1">
      <x:c r="A16" s="95" t="str">
        <x:v>FR-008</x:v>
      </x:c>
      <x:c r="B16" s="96" t="str">
        <x:v>Functional</x:v>
      </x:c>
      <x:c r="C16" s="96" t="str">
        <x:v>Display component metrics behind the supplier-risk label.</x:v>
      </x:c>
      <x:c r="D16" s="96" t="str">
        <x:v>Must</x:v>
      </x:c>
      <x:c r="E16" s="96" t="str">
        <x:v>Procurement Manager</x:v>
      </x:c>
      <x:c r="F16" s="96" t="str">
        <x:v>supplier_performance</x:v>
      </x:c>
      <x:c r="G16" s="96" t="str">
        <x:v>Supplier performance view</x:v>
      </x:c>
      <x:c r="H16" s="96" t="str">
        <x:v>UAT-012</x:v>
      </x:c>
      <x:c r="I16" s="96" t="str">
        <x:v>Implemented</x:v>
      </x:c>
      <x:c r="J16" s="97" t="str">
        <x:v>Retain explainability after recalibration.</x:v>
      </x:c>
    </x:row>
    <x:row r="17" ht="52" customHeight="1">
      <x:c r="A17" s="95" t="str">
        <x:v>FR-009</x:v>
      </x:c>
      <x:c r="B17" s="96" t="str">
        <x:v>Functional</x:v>
      </x:c>
      <x:c r="C17" s="96" t="str">
        <x:v>Separate ordered, committed, received, invoiced, and paid value.</x:v>
      </x:c>
      <x:c r="D17" s="96" t="str">
        <x:v>Should</x:v>
      </x:c>
      <x:c r="E17" s="96" t="str">
        <x:v>Finance Manager</x:v>
      </x:c>
      <x:c r="F17" s="96" t="str">
        <x:v>Future ERP/invoice/payment sources</x:v>
      </x:c>
      <x:c r="G17" s="96" t="str">
        <x:v>Future financial views</x:v>
      </x:c>
      <x:c r="H17" s="96" t="str">
        <x:v>UAT-016</x:v>
      </x:c>
      <x:c r="I17" s="96" t="str">
        <x:v>Planned</x:v>
      </x:c>
      <x:c r="J17" s="97" t="str">
        <x:v>Source data and definitions are not available.</x:v>
      </x:c>
    </x:row>
    <x:row r="18" ht="52" customHeight="1">
      <x:c r="A18" s="95" t="str">
        <x:v>FR-010</x:v>
      </x:c>
      <x:c r="B18" s="96" t="str">
        <x:v>Functional</x:v>
      </x:c>
      <x:c r="C18" s="96" t="str">
        <x:v>Support supplier, product, project, buyer, status, and date drill-down.</x:v>
      </x:c>
      <x:c r="D18" s="96" t="str">
        <x:v>Should</x:v>
      </x:c>
      <x:c r="E18" s="96" t="str">
        <x:v>Buyers / Operations</x:v>
      </x:c>
      <x:c r="F18" s="96" t="str">
        <x:v>Future mart/dashboard enhancement</x:v>
      </x:c>
      <x:c r="G18" s="96" t="str">
        <x:v>Future filters and detail</x:v>
      </x:c>
      <x:c r="H18" s="96" t="str">
        <x:v>UAT-019</x:v>
      </x:c>
      <x:c r="I18" s="96" t="str">
        <x:v>Planned</x:v>
      </x:c>
      <x:c r="J18" s="97" t="str">
        <x:v>Validate priority and usability with users.</x:v>
      </x:c>
    </x:row>
    <x:row r="19" ht="52" customHeight="1">
      <x:c r="A19" s="95" t="str">
        <x:v>FR-011</x:v>
      </x:c>
      <x:c r="B19" s="96" t="str">
        <x:v>Functional</x:v>
      </x:c>
      <x:c r="C19" s="96" t="str">
        <x:v>Use approved, volume-aware supplier-risk thresholds before production.</x:v>
      </x:c>
      <x:c r="D19" s="96" t="str">
        <x:v>Must before production</x:v>
      </x:c>
      <x:c r="E19" s="96" t="str">
        <x:v>Procurement / Quality / Operations</x:v>
      </x:c>
      <x:c r="F19" s="96" t="str">
        <x:v>Future risk model</x:v>
      </x:c>
      <x:c r="G19" s="96" t="str">
        <x:v>Risk classification</x:v>
      </x:c>
      <x:c r="H19" s="96" t="str">
        <x:v>UAT-017</x:v>
      </x:c>
      <x:c r="I19" s="96" t="str">
        <x:v>Planned</x:v>
      </x:c>
      <x:c r="J19" s="97" t="str">
        <x:v>Requires real history, outcomes, and risk appetite.</x:v>
      </x:c>
    </x:row>
    <x:row r="20" ht="52" customHeight="1">
      <x:c r="A20" s="95" t="str">
        <x:v>DQ-001</x:v>
      </x:c>
      <x:c r="B20" s="96" t="str">
        <x:v>Data Quality</x:v>
      </x:c>
      <x:c r="C20" s="96" t="str">
        <x:v>Primary identifiers must be complete and unique.</x:v>
      </x:c>
      <x:c r="D20" s="96" t="str">
        <x:v>Must</x:v>
      </x:c>
      <x:c r="E20" s="96" t="str">
        <x:v>Data Owner</x:v>
      </x:c>
      <x:c r="F20" s="96" t="str">
        <x:v>dbt not_null and unique tests</x:v>
      </x:c>
      <x:c r="G20" s="96" t="str">
        <x:v>Certified marts</x:v>
      </x:c>
      <x:c r="H20" s="96" t="str">
        <x:v>UAT-001,UAT-002,UAT-003</x:v>
      </x:c>
      <x:c r="I20" s="96" t="str">
        <x:v>Implemented</x:v>
      </x:c>
      <x:c r="J20" s="97" t="str">
        <x:v>Assign production issue ownership.</x:v>
      </x:c>
    </x:row>
    <x:row r="21" ht="52" customHeight="1">
      <x:c r="A21" s="95" t="str">
        <x:v>DQ-002</x:v>
      </x:c>
      <x:c r="B21" s="96" t="str">
        <x:v>Data Quality</x:v>
      </x:c>
      <x:c r="C21" s="96" t="str">
        <x:v>Orders, lines, products, suppliers, and inspections must have valid relationships.</x:v>
      </x:c>
      <x:c r="D21" s="96" t="str">
        <x:v>Must</x:v>
      </x:c>
      <x:c r="E21" s="96" t="str">
        <x:v>Data Owner</x:v>
      </x:c>
      <x:c r="F21" s="96" t="str">
        <x:v>dbt relationships tests</x:v>
      </x:c>
      <x:c r="G21" s="96" t="str">
        <x:v>Certified marts</x:v>
      </x:c>
      <x:c r="H21" s="96" t="str">
        <x:v>UAT-010</x:v>
      </x:c>
      <x:c r="I21" s="96" t="str">
        <x:v>Implemented</x:v>
      </x:c>
      <x:c r="J21" s="97" t="str">
        <x:v>Define failure workflow and SLA.</x:v>
      </x:c>
    </x:row>
    <x:row r="22" ht="52" customHeight="1">
      <x:c r="A22" s="95" t="str">
        <x:v>DQ-003</x:v>
      </x:c>
      <x:c r="B22" s="96" t="str">
        <x:v>Data Quality</x:v>
      </x:c>
      <x:c r="C22" s="96" t="str">
        <x:v>Order status must be OPEN, CLOSED, or CANCELLED.</x:v>
      </x:c>
      <x:c r="D22" s="96" t="str">
        <x:v>Must</x:v>
      </x:c>
      <x:c r="E22" s="96" t="str">
        <x:v>Procurement / Data Owner</x:v>
      </x:c>
      <x:c r="F22" s="96" t="str">
        <x:v>dbt accepted_values test</x:v>
      </x:c>
      <x:c r="G22" s="96" t="str">
        <x:v>Status views</x:v>
      </x:c>
      <x:c r="H22" s="96" t="str">
        <x:v>UAT-008,UAT-009</x:v>
      </x:c>
      <x:c r="I22" s="96" t="str">
        <x:v>Implemented</x:v>
      </x:c>
      <x:c r="J22" s="97" t="str">
        <x:v>Map source-system status codes.</x:v>
      </x:c>
    </x:row>
    <x:row r="23" ht="52" customHeight="1">
      <x:c r="A23" s="95" t="str">
        <x:v>DQ-004</x:v>
      </x:c>
      <x:c r="B23" s="96" t="str">
        <x:v>Data Quality</x:v>
      </x:c>
      <x:c r="C23" s="96" t="str">
        <x:v>Ordered quantity must be positive and received quantity must be valid.</x:v>
      </x:c>
      <x:c r="D23" s="96" t="str">
        <x:v>Must</x:v>
      </x:c>
      <x:c r="E23" s="96" t="str">
        <x:v>Operations / Data Owner</x:v>
      </x:c>
      <x:c r="F23" s="96" t="str">
        <x:v>assert_valid_quantities.sql</x:v>
      </x:c>
      <x:c r="G23" s="96" t="str">
        <x:v>Certified marts</x:v>
      </x:c>
      <x:c r="H23" s="96" t="str">
        <x:v>UAT-011</x:v>
      </x:c>
      <x:c r="I23" s="96" t="str">
        <x:v>Implemented</x:v>
      </x:c>
      <x:c r="J23" s="97" t="str">
        <x:v>Add source exception routing.</x:v>
      </x:c>
    </x:row>
    <x:row r="24" ht="52" customHeight="1">
      <x:c r="A24" s="95" t="str">
        <x:v>DQ-005</x:v>
      </x:c>
      <x:c r="B24" s="96" t="str">
        <x:v>Data Quality</x:v>
      </x:c>
      <x:c r="C24" s="96" t="str">
        <x:v>Inspected and rejected quantities must be valid.</x:v>
      </x:c>
      <x:c r="D24" s="96" t="str">
        <x:v>Must</x:v>
      </x:c>
      <x:c r="E24" s="96" t="str">
        <x:v>Quality / Data Owner</x:v>
      </x:c>
      <x:c r="F24" s="96" t="str">
        <x:v>assert_valid_quantities.sql</x:v>
      </x:c>
      <x:c r="G24" s="96" t="str">
        <x:v>Certified marts</x:v>
      </x:c>
      <x:c r="H24" s="96" t="str">
        <x:v>UAT-011</x:v>
      </x:c>
      <x:c r="I24" s="96" t="str">
        <x:v>Implemented</x:v>
      </x:c>
      <x:c r="J24" s="97" t="str">
        <x:v>Add source exception routing.</x:v>
      </x:c>
    </x:row>
    <x:row r="25" ht="52" customHeight="1">
      <x:c r="A25" s="95" t="str">
        <x:v>DQ-006</x:v>
      </x:c>
      <x:c r="B25" s="96" t="str">
        <x:v>Data Quality</x:v>
      </x:c>
      <x:c r="C25" s="96" t="str">
        <x:v>Production sources must have freshness and volume-anomaly controls.</x:v>
      </x:c>
      <x:c r="D25" s="96" t="str">
        <x:v>Must before production</x:v>
      </x:c>
      <x:c r="E25" s="96" t="str">
        <x:v>Data Owner</x:v>
      </x:c>
      <x:c r="F25" s="96" t="str">
        <x:v>Future dbt freshness/monitoring</x:v>
      </x:c>
      <x:c r="G25" s="96" t="str">
        <x:v>Data-quality alerts</x:v>
      </x:c>
      <x:c r="H25" s="96" t="str">
        <x:v>UAT-020</x:v>
      </x:c>
      <x:c r="I25" s="96" t="str">
        <x:v>Planned</x:v>
      </x:c>
      <x:c r="J25" s="97" t="str">
        <x:v>Define refresh SLA and alert recipients.</x:v>
      </x:c>
    </x:row>
    <x:row r="26" ht="52" customHeight="1">
      <x:c r="A26" s="95" t="str">
        <x:v>DQ-007</x:v>
      </x:c>
      <x:c r="B26" s="96" t="str">
        <x:v>Data Quality</x:v>
      </x:c>
      <x:c r="C26" s="96" t="str">
        <x:v>Financial outputs must reconcile to approved systems and status treatment.</x:v>
      </x:c>
      <x:c r="D26" s="96" t="str">
        <x:v>Must before production</x:v>
      </x:c>
      <x:c r="E26" s="96" t="str">
        <x:v>Finance Manager</x:v>
      </x:c>
      <x:c r="F26" s="96" t="str">
        <x:v>Future reconciliation control</x:v>
      </x:c>
      <x:c r="G26" s="96" t="str">
        <x:v>Certified financial metrics</x:v>
      </x:c>
      <x:c r="H26" s="96" t="str">
        <x:v>UAT-016</x:v>
      </x:c>
      <x:c r="I26" s="96" t="str">
        <x:v>Planned</x:v>
      </x:c>
      <x:c r="J26" s="97" t="str">
        <x:v>Requires finance sign-off and source-of-record access.</x:v>
      </x:c>
    </x:row>
    <x:row r="27" ht="52" customHeight="1">
      <x:c r="A27" s="95" t="str">
        <x:v>NFR-001</x:v>
      </x:c>
      <x:c r="B27" s="96" t="str">
        <x:v>Non-functional</x:v>
      </x:c>
      <x:c r="C27" s="96" t="str">
        <x:v>Transformations and tests must be repeatable from version-controlled code.</x:v>
      </x:c>
      <x:c r="D27" s="96" t="str">
        <x:v>Must</x:v>
      </x:c>
      <x:c r="E27" s="96" t="str">
        <x:v>Data Team</x:v>
      </x:c>
      <x:c r="F27" s="96" t="str">
        <x:v>GitHub; Snowflake SQL; dbt project</x:v>
      </x:c>
      <x:c r="G27" s="96" t="str">
        <x:v>Reproducible build</x:v>
      </x:c>
      <x:c r="H27" s="96" t="str">
        <x:v>UAT-018</x:v>
      </x:c>
      <x:c r="I27" s="96" t="str">
        <x:v>Implemented</x:v>
      </x:c>
      <x:c r="J27" s="97" t="str">
        <x:v>Add CI/CD and release controls.</x:v>
      </x:c>
    </x:row>
    <x:row r="28" ht="52" customHeight="1">
      <x:c r="A28" s="95" t="str">
        <x:v>NFR-002</x:v>
      </x:c>
      <x:c r="B28" s="96" t="str">
        <x:v>Non-functional</x:v>
      </x:c>
      <x:c r="C28" s="96" t="str">
        <x:v>Business logic must be centralized in dbt instead of duplicated in Tableau.</x:v>
      </x:c>
      <x:c r="D28" s="96" t="str">
        <x:v>Must</x:v>
      </x:c>
      <x:c r="E28" s="96" t="str">
        <x:v>Data Team</x:v>
      </x:c>
      <x:c r="F28" s="96" t="str">
        <x:v>dbt marts</x:v>
      </x:c>
      <x:c r="G28" s="96" t="str">
        <x:v>Tableau consumes mart output</x:v>
      </x:c>
      <x:c r="H28" s="96" t="str">
        <x:v>UAT-013,UAT-014,UAT-015</x:v>
      </x:c>
      <x:c r="I28" s="96" t="str">
        <x:v>Implemented</x:v>
      </x:c>
      <x:c r="J28" s="97" t="str">
        <x:v>Create governed semantic layer if adopted.</x:v>
      </x:c>
    </x:row>
    <x:row r="29" ht="52" customHeight="1">
      <x:c r="A29" s="95" t="str">
        <x:v>NFR-003</x:v>
      </x:c>
      <x:c r="B29" s="96" t="str">
        <x:v>Non-functional</x:v>
      </x:c>
      <x:c r="C29" s="96" t="str">
        <x:v>KPI definitions, grain, lineage, and limitations must be documented.</x:v>
      </x:c>
      <x:c r="D29" s="96" t="str">
        <x:v>Must</x:v>
      </x:c>
      <x:c r="E29" s="96" t="str">
        <x:v>Data Team / Owners</x:v>
      </x:c>
      <x:c r="F29" s="96" t="str">
        <x:v>README; docs; decision log</x:v>
      </x:c>
      <x:c r="G29" s="96" t="str">
        <x:v>Repository documentation</x:v>
      </x:c>
      <x:c r="H29" s="96" t="str">
        <x:v>UAT-016,UAT-017</x:v>
      </x:c>
      <x:c r="I29" s="96" t="str">
        <x:v>Implemented</x:v>
      </x:c>
      <x:c r="J29" s="97" t="str">
        <x:v>Establish approval and change-control process.</x:v>
      </x:c>
    </x:row>
    <x:row r="30" ht="52" customHeight="1">
      <x:c r="A30" s="95" t="str">
        <x:v>NFR-004</x:v>
      </x:c>
      <x:c r="B30" s="96" t="str">
        <x:v>Non-functional</x:v>
      </x:c>
      <x:c r="C30" s="96" t="str">
        <x:v>Development compute should minimize idle Snowflake usage.</x:v>
      </x:c>
      <x:c r="D30" s="96" t="str">
        <x:v>Should</x:v>
      </x:c>
      <x:c r="E30" s="96" t="str">
        <x:v>Data Team</x:v>
      </x:c>
      <x:c r="F30" s="96" t="str">
        <x:v>X-Small warehouse; auto-suspend</x:v>
      </x:c>
      <x:c r="G30" s="96" t="str">
        <x:v>Snowflake configuration</x:v>
      </x:c>
      <x:c r="H30" s="96" t="str">
        <x:v>UAT-021</x:v>
      </x:c>
      <x:c r="I30" s="96" t="str">
        <x:v>Implemented</x:v>
      </x:c>
      <x:c r="J30" s="97" t="str">
        <x:v>Add budgets/resource monitors in production.</x:v>
      </x:c>
    </x:row>
    <x:row r="31" ht="52" customHeight="1">
      <x:c r="A31" s="95" t="str">
        <x:v>NFR-005</x:v>
      </x:c>
      <x:c r="B31" s="96" t="str">
        <x:v>Non-functional</x:v>
      </x:c>
      <x:c r="C31" s="96" t="str">
        <x:v>Production access must use least privilege and separate environments.</x:v>
      </x:c>
      <x:c r="D31" s="96" t="str">
        <x:v>Must before production</x:v>
      </x:c>
      <x:c r="E31" s="96" t="str">
        <x:v>Data Governance</x:v>
      </x:c>
      <x:c r="F31" s="96" t="str">
        <x:v>Future security design</x:v>
      </x:c>
      <x:c r="G31" s="96" t="str">
        <x:v>Production platform</x:v>
      </x:c>
      <x:c r="H31" s="96" t="str">
        <x:v>UAT-022</x:v>
      </x:c>
      <x:c r="I31" s="96" t="str">
        <x:v>Planned</x:v>
      </x:c>
      <x:c r="J31" s="97" t="str">
        <x:v>Prototype used a broad trial role.</x:v>
      </x:c>
    </x:row>
    <x:row r="32" ht="52" customHeight="1">
      <x:c r="A32" s="95" t="str">
        <x:v>NFR-006</x:v>
      </x:c>
      <x:c r="B32" s="96" t="str">
        <x:v>Non-functional</x:v>
      </x:c>
      <x:c r="C32" s="96" t="str">
        <x:v>Production builds and dashboard refreshes must be scheduled and monitored.</x:v>
      </x:c>
      <x:c r="D32" s="96" t="str">
        <x:v>Must before production</x:v>
      </x:c>
      <x:c r="E32" s="96" t="str">
        <x:v>Data Team</x:v>
      </x:c>
      <x:c r="F32" s="96" t="str">
        <x:v>Future orchestration and monitoring</x:v>
      </x:c>
      <x:c r="G32" s="96" t="str">
        <x:v>Production refresh</x:v>
      </x:c>
      <x:c r="H32" s="96" t="str">
        <x:v>UAT-020</x:v>
      </x:c>
      <x:c r="I32" s="96" t="str">
        <x:v>Planned</x:v>
      </x:c>
      <x:c r="J32" s="97" t="str">
        <x:v>Manual execution is acceptable only for learning scope.</x:v>
      </x:c>
    </x:row>
    <x:row r="33" ht="52" customHeight="1">
      <x:c r="A33" s="98" t="str">
        <x:v>NFR-007</x:v>
      </x:c>
      <x:c r="B33" s="99" t="str">
        <x:v>Non-functional</x:v>
      </x:c>
      <x:c r="C33" s="99" t="str">
        <x:v>Sensitive pricing and supplier data must not be published publicly.</x:v>
      </x:c>
      <x:c r="D33" s="99" t="str">
        <x:v>Must before production</x:v>
      </x:c>
      <x:c r="E33" s="99" t="str">
        <x:v>Data Governance</x:v>
      </x:c>
      <x:c r="F33" s="99" t="str">
        <x:v>Future governed BI deployment</x:v>
      </x:c>
      <x:c r="G33" s="99" t="str">
        <x:v>Production dashboard</x:v>
      </x:c>
      <x:c r="H33" s="99" t="str">
        <x:v>UAT-022</x:v>
      </x:c>
      <x:c r="I33" s="99" t="str">
        <x:v>Planned</x:v>
      </x:c>
      <x:c r="J33" s="100" t="str">
        <x:v>Tableau Public is used only with synthetic data.</x:v>
      </x:c>
    </x:row>
  </x:sheetData>
  <x:mergeCells>
    <x:mergeCell ref="A1:J1"/>
    <x:mergeCell ref="A2:J2"/>
  </x:mergeCells>
  <x:conditionalFormatting sqref="I6:I33">
    <x:cfRule type="containsText" dxfId="5" priority="1" operator="containsText" text="Pass"/>
    <x:cfRule type="containsText" dxfId="6" priority="2" operator="containsText" text="Implemented"/>
    <x:cfRule type="containsText" dxfId="7" priority="3" operator="containsText" text="Planned"/>
    <x:cfRule type="containsText" dxfId="8" priority="4" operator="containsText" text="Not Run"/>
    <x:cfRule type="containsText" dxfId="9" priority="5" operator="containsText" text="Fail"/>
  </x:conditionalFormatting>
  <x:dataValidations count="2">
    <x:dataValidation type="list" sqref="D6:D33">
      <x:formula1>"Must,Should,Could,Won't now,Must before production"</x:formula1>
    </x:dataValidation>
    <x:dataValidation type="list" sqref="I6:I33">
      <x:formula1>"Implemented,Planned"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399ca804204a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0" hidden="0" customWidth="1"/>
    <x:col min="4" max="4" width="28" hidden="0" customWidth="1"/>
    <x:col min="5" max="5" width="38" hidden="0" customWidth="1"/>
    <x:col min="6" max="6" width="34" hidden="0" customWidth="1"/>
    <x:col min="7" max="7" width="30" hidden="0" customWidth="1"/>
    <x:col min="8" max="8" width="28" hidden="0" customWidth="1"/>
    <x:col min="9" max="9" width="24" hidden="0" customWidth="1"/>
    <x:col min="10" max="10" width="20" hidden="0" customWidth="1"/>
    <x:col min="11" max="11" width="14" hidden="0" customWidth="1"/>
    <x:col min="12" max="12" width="34" hidden="0" customWidth="1"/>
  </x:cols>
  <x:sheetData>
    <x:row r="1" ht="34" customHeight="1">
      <x:c r="A1" s="3" t="str">
        <x:v>User Acceptance Test Cases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30" customHeight="1">
      <x:c r="A2" s="7" t="str">
        <x:v>Prototype evidence is recorded separately from production-only tests that require real data, approvals, security, or automation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5" ht="34" customHeight="1">
      <x:c r="A5" s="70" t="str">
        <x:v>Test ID</x:v>
      </x:c>
      <x:c r="B5" s="71" t="str">
        <x:v>Requirement ID(s)</x:v>
      </x:c>
      <x:c r="C5" s="71" t="str">
        <x:v>Scenario</x:v>
      </x:c>
      <x:c r="D5" s="71" t="str">
        <x:v>Preconditions</x:v>
      </x:c>
      <x:c r="E5" s="71" t="str">
        <x:v>Test steps</x:v>
      </x:c>
      <x:c r="F5" s="71" t="str">
        <x:v>Expected result</x:v>
      </x:c>
      <x:c r="G5" s="71" t="str">
        <x:v>Actual result</x:v>
      </x:c>
      <x:c r="H5" s="71" t="str">
        <x:v>Evidence</x:v>
      </x:c>
      <x:c r="I5" s="71" t="str">
        <x:v>Owner</x:v>
      </x:c>
      <x:c r="J5" s="71" t="str">
        <x:v>Priority</x:v>
      </x:c>
      <x:c r="K5" s="71" t="str">
        <x:v>Status</x:v>
      </x:c>
      <x:c r="L5" s="72" t="str">
        <x:v>Defect / decision</x:v>
      </x:c>
    </x:row>
    <x:row r="6" ht="62" customHeight="1">
      <x:c r="A6" s="120" t="str">
        <x:v>UAT-001</x:v>
      </x:c>
      <x:c r="B6" s="121" t="str">
        <x:v>FR-005,DQ-001</x:v>
      </x:c>
      <x:c r="C6" s="121" t="str">
        <x:v>Validate line-mart grain</x:v>
      </x:c>
      <x:c r="D6" s="121" t="str">
        <x:v>Current synthetic build completed</x:v>
      </x:c>
      <x:c r="E6" s="121" t="str">
        <x:v>Count rows in purchase_order_analysis.</x:v>
      </x:c>
      <x:c r="F6" s="121" t="str">
        <x:v>9,000 rows</x:v>
      </x:c>
      <x:c r="G6" s="121" t="str">
        <x:v>9,000 rows</x:v>
      </x:c>
      <x:c r="H6" s="121" t="str">
        <x:v>Exported mart row count</x:v>
      </x:c>
      <x:c r="I6" s="121" t="str">
        <x:v>Data Analyst</x:v>
      </x:c>
      <x:c r="J6" s="121" t="str">
        <x:v>Must</x:v>
      </x:c>
      <x:c r="K6" s="121" t="str">
        <x:v>Pass</x:v>
      </x:c>
      <x:c r="L6" s="122" t="str">
        <x:v>None</x:v>
      </x:c>
    </x:row>
    <x:row r="7" ht="62" customHeight="1">
      <x:c r="A7" s="123" t="str">
        <x:v>UAT-002</x:v>
      </x:c>
      <x:c r="B7" s="124" t="str">
        <x:v>FR-005,DQ-001</x:v>
      </x:c>
      <x:c r="C7" s="124" t="str">
        <x:v>Validate unique order-line identifier</x:v>
      </x:c>
      <x:c r="D7" s="124" t="str">
        <x:v>Line mart available</x:v>
      </x:c>
      <x:c r="E7" s="124" t="str">
        <x:v>Compare row count with distinct purchase_order_line_id.</x:v>
      </x:c>
      <x:c r="F7" s="124" t="str">
        <x:v>9,000 rows and 9,000 distinct IDs</x:v>
      </x:c>
      <x:c r="G7" s="124" t="str">
        <x:v>9,000 rows and 9,000 distinct IDs</x:v>
      </x:c>
      <x:c r="H7" s="124" t="str">
        <x:v>dbt unique test and export</x:v>
      </x:c>
      <x:c r="I7" s="124" t="str">
        <x:v>Data Analyst</x:v>
      </x:c>
      <x:c r="J7" s="124" t="str">
        <x:v>Must</x:v>
      </x:c>
      <x:c r="K7" s="124" t="str">
        <x:v>Pass</x:v>
      </x:c>
      <x:c r="L7" s="125" t="str">
        <x:v>None</x:v>
      </x:c>
    </x:row>
    <x:row r="8" ht="62" customHeight="1">
      <x:c r="A8" s="123" t="str">
        <x:v>UAT-003</x:v>
      </x:c>
      <x:c r="B8" s="124" t="str">
        <x:v>BR-002,FR-005,DQ-001</x:v>
      </x:c>
      <x:c r="C8" s="124" t="str">
        <x:v>Validate supplier-mart grain</x:v>
      </x:c>
      <x:c r="D8" s="124" t="str">
        <x:v>Supplier mart available</x:v>
      </x:c>
      <x:c r="E8" s="124" t="str">
        <x:v>Count rows and distinct supplier_id.</x:v>
      </x:c>
      <x:c r="F8" s="124" t="str">
        <x:v>29 rows and 29 distinct suppliers</x:v>
      </x:c>
      <x:c r="G8" s="124" t="str">
        <x:v>29 rows and 29 distinct suppliers</x:v>
      </x:c>
      <x:c r="H8" s="124" t="str">
        <x:v>Exported supplier mart</x:v>
      </x:c>
      <x:c r="I8" s="124" t="str">
        <x:v>Procurement / Data Analyst</x:v>
      </x:c>
      <x:c r="J8" s="124" t="str">
        <x:v>Must</x:v>
      </x:c>
      <x:c r="K8" s="124" t="str">
        <x:v>Pass</x:v>
      </x:c>
      <x:c r="L8" s="125" t="str">
        <x:v>None</x:v>
      </x:c>
    </x:row>
    <x:row r="9" ht="62" customHeight="1">
      <x:c r="A9" s="123" t="str">
        <x:v>UAT-004</x:v>
      </x:c>
      <x:c r="B9" s="124" t="str">
        <x:v>BR-001,FR-001</x:v>
      </x:c>
      <x:c r="C9" s="124" t="str">
        <x:v>Reconcile total ordered line value</x:v>
      </x:c>
      <x:c r="D9" s="124" t="str">
        <x:v>Line mart available</x:v>
      </x:c>
      <x:c r="E9" s="124" t="str">
        <x:v>Sum order_line_value across all lines.</x:v>
      </x:c>
      <x:c r="F9" s="124" t="str">
        <x:v>$528,137,485.05</x:v>
      </x:c>
      <x:c r="G9" s="124" t="str">
        <x:v>$528,137,485.05</x:v>
      </x:c>
      <x:c r="H9" s="124" t="str">
        <x:v>purchase_order_analysis.csv</x:v>
      </x:c>
      <x:c r="I9" s="124" t="str">
        <x:v>Finance Manager</x:v>
      </x:c>
      <x:c r="J9" s="124" t="str">
        <x:v>Must</x:v>
      </x:c>
      <x:c r="K9" s="124" t="str">
        <x:v>Pass</x:v>
      </x:c>
      <x:c r="L9" s="125" t="str">
        <x:v>Terminology decision remains open</x:v>
      </x:c>
    </x:row>
    <x:row r="10" ht="62" customHeight="1">
      <x:c r="A10" s="123" t="str">
        <x:v>UAT-005</x:v>
      </x:c>
      <x:c r="B10" s="124" t="str">
        <x:v>FR-002</x:v>
      </x:c>
      <x:c r="C10" s="124" t="str">
        <x:v>Reconcile on-time delivery</x:v>
      </x:c>
      <x:c r="D10" s="124" t="str">
        <x:v>Delivered lines identified</x:v>
      </x:c>
      <x:c r="E10" s="124" t="str">
        <x:v>Count is_on_time=1 and divide by non-null is_on_time.</x:v>
      </x:c>
      <x:c r="F10" s="124" t="str">
        <x:v>1,748 / 8,100 = 21.58%</x:v>
      </x:c>
      <x:c r="G10" s="124" t="str">
        <x:v>1,748 / 8,100 = 21.5802469%</x:v>
      </x:c>
      <x:c r="H10" s="124" t="str">
        <x:v>Line mart and supplier aggregate</x:v>
      </x:c>
      <x:c r="I10" s="124" t="str">
        <x:v>Operations Planner</x:v>
      </x:c>
      <x:c r="J10" s="124" t="str">
        <x:v>Must</x:v>
      </x:c>
      <x:c r="K10" s="124" t="str">
        <x:v>Pass</x:v>
      </x:c>
      <x:c r="L10" s="125" t="str">
        <x:v>None</x:v>
      </x:c>
    </x:row>
    <x:row r="11" ht="62" customHeight="1">
      <x:c r="A11" s="123" t="str">
        <x:v>UAT-006</x:v>
      </x:c>
      <x:c r="B11" s="124" t="str">
        <x:v>FR-003</x:v>
      </x:c>
      <x:c r="C11" s="124" t="str">
        <x:v>Reconcile weighted defect rate</x:v>
      </x:c>
      <x:c r="D11" s="124" t="str">
        <x:v>Inspection quantities available</x:v>
      </x:c>
      <x:c r="E11" s="124" t="str">
        <x:v>Sum rejected units and divide by summed inspected units.</x:v>
      </x:c>
      <x:c r="F11" s="124" t="str">
        <x:v>40,762 / 4,241,165 = approximately 0.96%</x:v>
      </x:c>
      <x:c r="G11" s="124" t="str">
        <x:v>0.9611038%</x:v>
      </x:c>
      <x:c r="H11" s="124" t="str">
        <x:v>Line mart and supplier aggregate</x:v>
      </x:c>
      <x:c r="I11" s="124" t="str">
        <x:v>Quality Manager</x:v>
      </x:c>
      <x:c r="J11" s="124" t="str">
        <x:v>Must</x:v>
      </x:c>
      <x:c r="K11" s="124" t="str">
        <x:v>Pass</x:v>
      </x:c>
      <x:c r="L11" s="125" t="str">
        <x:v>None</x:v>
      </x:c>
    </x:row>
    <x:row r="12" ht="62" customHeight="1">
      <x:c r="A12" s="123" t="str">
        <x:v>UAT-007</x:v>
      </x:c>
      <x:c r="B12" s="124" t="str">
        <x:v>FR-004</x:v>
      </x:c>
      <x:c r="C12" s="124" t="str">
        <x:v>Reconcile open-order exposure</x:v>
      </x:c>
      <x:c r="D12" s="124" t="str">
        <x:v>Order status and line value available</x:v>
      </x:c>
      <x:c r="E12" s="124" t="str">
        <x:v>Sum open_order_exposure and confirm non-OPEN lines contribute zero.</x:v>
      </x:c>
      <x:c r="F12" s="124" t="str">
        <x:v>$27,407,880.34</x:v>
      </x:c>
      <x:c r="G12" s="124" t="str">
        <x:v>$27,407,880.34</x:v>
      </x:c>
      <x:c r="H12" s="124" t="str">
        <x:v>purchase_order_analysis.csv</x:v>
      </x:c>
      <x:c r="I12" s="124" t="str">
        <x:v>Finance / Procurement</x:v>
      </x:c>
      <x:c r="J12" s="124" t="str">
        <x:v>Must</x:v>
      </x:c>
      <x:c r="K12" s="124" t="str">
        <x:v>Pass</x:v>
      </x:c>
      <x:c r="L12" s="125" t="str">
        <x:v>Outstanding-value definition remains open</x:v>
      </x:c>
    </x:row>
    <x:row r="13" ht="62" customHeight="1">
      <x:c r="A13" s="123" t="str">
        <x:v>UAT-008</x:v>
      </x:c>
      <x:c r="B13" s="124" t="str">
        <x:v>DQ-003</x:v>
      </x:c>
      <x:c r="C13" s="124" t="str">
        <x:v>Validate purchase-order status distribution</x:v>
      </x:c>
      <x:c r="D13" s="124" t="str">
        <x:v>Order headers generated</x:v>
      </x:c>
      <x:c r="E13" s="124" t="str">
        <x:v>Group purchase orders by status.</x:v>
      </x:c>
      <x:c r="F13" s="124" t="str">
        <x:v>2,700 CLOSED; 150 OPEN; 150 CANCELLED</x:v>
      </x:c>
      <x:c r="G13" s="124" t="str">
        <x:v>Matches expected distribution</x:v>
      </x:c>
      <x:c r="H13" s="124" t="str">
        <x:v>Generation script / verification output</x:v>
      </x:c>
      <x:c r="I13" s="124" t="str">
        <x:v>Data Owner</x:v>
      </x:c>
      <x:c r="J13" s="124" t="str">
        <x:v>Must</x:v>
      </x:c>
      <x:c r="K13" s="124" t="str">
        <x:v>Pass</x:v>
      </x:c>
      <x:c r="L13" s="125" t="str">
        <x:v>None</x:v>
      </x:c>
    </x:row>
    <x:row r="14" ht="62" customHeight="1">
      <x:c r="A14" s="123" t="str">
        <x:v>UAT-009</x:v>
      </x:c>
      <x:c r="B14" s="124" t="str">
        <x:v>DQ-003</x:v>
      </x:c>
      <x:c r="C14" s="124" t="str">
        <x:v>Validate line status distribution</x:v>
      </x:c>
      <x:c r="D14" s="124" t="str">
        <x:v>Lines joined to order headers</x:v>
      </x:c>
      <x:c r="E14" s="124" t="str">
        <x:v>Group order lines by order status.</x:v>
      </x:c>
      <x:c r="F14" s="124" t="str">
        <x:v>8,100 CLOSED; 450 OPEN; 450 CANCELLED</x:v>
      </x:c>
      <x:c r="G14" s="124" t="str">
        <x:v>Matches expected distribution</x:v>
      </x:c>
      <x:c r="H14" s="124" t="str">
        <x:v>Line mart</x:v>
      </x:c>
      <x:c r="I14" s="124" t="str">
        <x:v>Data Owner</x:v>
      </x:c>
      <x:c r="J14" s="124" t="str">
        <x:v>Must</x:v>
      </x:c>
      <x:c r="K14" s="124" t="str">
        <x:v>Pass</x:v>
      </x:c>
      <x:c r="L14" s="125" t="str">
        <x:v>None</x:v>
      </x:c>
    </x:row>
    <x:row r="15" ht="62" customHeight="1">
      <x:c r="A15" s="123" t="str">
        <x:v>UAT-010</x:v>
      </x:c>
      <x:c r="B15" s="124" t="str">
        <x:v>DQ-002</x:v>
      </x:c>
      <x:c r="C15" s="124" t="str">
        <x:v>Validate referential integrity</x:v>
      </x:c>
      <x:c r="D15" s="124" t="str">
        <x:v>Staging models built</x:v>
      </x:c>
      <x:c r="E15" s="124" t="str">
        <x:v>Run dbt relationship tests.</x:v>
      </x:c>
      <x:c r="F15" s="124" t="str">
        <x:v>Zero orphaned supplier, order, product, or inspection references</x:v>
      </x:c>
      <x:c r="G15" s="124" t="str">
        <x:v>Zero failing relationship rows</x:v>
      </x:c>
      <x:c r="H15" s="124" t="str">
        <x:v>dbt test result</x:v>
      </x:c>
      <x:c r="I15" s="124" t="str">
        <x:v>Data Owner</x:v>
      </x:c>
      <x:c r="J15" s="124" t="str">
        <x:v>Must</x:v>
      </x:c>
      <x:c r="K15" s="124" t="str">
        <x:v>Pass</x:v>
      </x:c>
      <x:c r="L15" s="125" t="str">
        <x:v>None</x:v>
      </x:c>
    </x:row>
    <x:row r="16" ht="62" customHeight="1">
      <x:c r="A16" s="123" t="str">
        <x:v>UAT-011</x:v>
      </x:c>
      <x:c r="B16" s="124" t="str">
        <x:v>DQ-004,DQ-005</x:v>
      </x:c>
      <x:c r="C16" s="124" t="str">
        <x:v>Validate quantity rules</x:v>
      </x:c>
      <x:c r="D16" s="124" t="str">
        <x:v>Staging models built</x:v>
      </x:c>
      <x:c r="E16" s="124" t="str">
        <x:v>Run assert_valid_quantities singular test.</x:v>
      </x:c>
      <x:c r="F16" s="124" t="str">
        <x:v>Zero invalid quantity records</x:v>
      </x:c>
      <x:c r="G16" s="124" t="str">
        <x:v>Zero failing records</x:v>
      </x:c>
      <x:c r="H16" s="124" t="str">
        <x:v>dbt test result</x:v>
      </x:c>
      <x:c r="I16" s="124" t="str">
        <x:v>Operations / Quality</x:v>
      </x:c>
      <x:c r="J16" s="124" t="str">
        <x:v>Must</x:v>
      </x:c>
      <x:c r="K16" s="124" t="str">
        <x:v>Pass</x:v>
      </x:c>
      <x:c r="L16" s="125" t="str">
        <x:v>None</x:v>
      </x:c>
    </x:row>
    <x:row r="17" ht="62" customHeight="1">
      <x:c r="A17" s="123" t="str">
        <x:v>UAT-012</x:v>
      </x:c>
      <x:c r="B17" s="124" t="str">
        <x:v>BR-002,FR-008,FR-011</x:v>
      </x:c>
      <x:c r="C17" s="124" t="str">
        <x:v>Validate current supplier-risk output</x:v>
      </x:c>
      <x:c r="D17" s="124" t="str">
        <x:v>Supplier mart built</x:v>
      </x:c>
      <x:c r="E17" s="124" t="str">
        <x:v>Count suppliers by supplier_risk_level and inspect component metrics.</x:v>
      </x:c>
      <x:c r="F17" s="124" t="str">
        <x:v>29 HIGH under current illustrative rule</x:v>
      </x:c>
      <x:c r="G17" s="124" t="str">
        <x:v>29 HIGH</x:v>
      </x:c>
      <x:c r="H17" s="124" t="str">
        <x:v>supplier_performance.csv</x:v>
      </x:c>
      <x:c r="I17" s="124" t="str">
        <x:v>Procurement Manager</x:v>
      </x:c>
      <x:c r="J17" s="124" t="str">
        <x:v>Must</x:v>
      </x:c>
      <x:c r="K17" s="124" t="str">
        <x:v>Pass</x:v>
      </x:c>
      <x:c r="L17" s="125" t="str">
        <x:v>Pass confirms a threshold-calibration issue</x:v>
      </x:c>
    </x:row>
    <x:row r="18" ht="62" customHeight="1">
      <x:c r="A18" s="123" t="str">
        <x:v>UAT-013</x:v>
      </x:c>
      <x:c r="B18" s="124" t="str">
        <x:v>FR-006,NFR-002</x:v>
      </x:c>
      <x:c r="C18" s="124" t="str">
        <x:v>Reconcile Tableau ordered value</x:v>
      </x:c>
      <x:c r="D18" s="124" t="str">
        <x:v>Dashboard uses mart export</x:v>
      </x:c>
      <x:c r="E18" s="124" t="str">
        <x:v>Compare Tableau KPI with mart total.</x:v>
      </x:c>
      <x:c r="F18" s="124" t="str">
        <x:v>$528.14M after display rounding</x:v>
      </x:c>
      <x:c r="G18" s="124" t="str">
        <x:v>$528.14M</x:v>
      </x:c>
      <x:c r="H18" s="124" t="str">
        <x:v>Dashboard screenshot and mart export</x:v>
      </x:c>
      <x:c r="I18" s="124" t="str">
        <x:v>Data Analyst</x:v>
      </x:c>
      <x:c r="J18" s="124" t="str">
        <x:v>Must</x:v>
      </x:c>
      <x:c r="K18" s="124" t="str">
        <x:v>Pass</x:v>
      </x:c>
      <x:c r="L18" s="125" t="str">
        <x:v>Rename recommended</x:v>
      </x:c>
    </x:row>
    <x:row r="19" ht="62" customHeight="1">
      <x:c r="A19" s="123" t="str">
        <x:v>UAT-014</x:v>
      </x:c>
      <x:c r="B19" s="124" t="str">
        <x:v>FR-002,NFR-002</x:v>
      </x:c>
      <x:c r="C19" s="124" t="str">
        <x:v>Reconcile Tableau on-time delivery</x:v>
      </x:c>
      <x:c r="D19" s="124" t="str">
        <x:v>Dashboard uses mart export</x:v>
      </x:c>
      <x:c r="E19" s="124" t="str">
        <x:v>Compare Tableau KPI with approved calculation.</x:v>
      </x:c>
      <x:c r="F19" s="124" t="str">
        <x:v>21.58%</x:v>
      </x:c>
      <x:c r="G19" s="124" t="str">
        <x:v>21.58%</x:v>
      </x:c>
      <x:c r="H19" s="124" t="str">
        <x:v>Dashboard screenshot and mart export</x:v>
      </x:c>
      <x:c r="I19" s="124" t="str">
        <x:v>Operations Planner</x:v>
      </x:c>
      <x:c r="J19" s="124" t="str">
        <x:v>Must</x:v>
      </x:c>
      <x:c r="K19" s="124" t="str">
        <x:v>Pass</x:v>
      </x:c>
      <x:c r="L19" s="125" t="str">
        <x:v>None</x:v>
      </x:c>
    </x:row>
    <x:row r="20" ht="62" customHeight="1">
      <x:c r="A20" s="123" t="str">
        <x:v>UAT-015</x:v>
      </x:c>
      <x:c r="B20" s="124" t="str">
        <x:v>FR-003,NFR-002</x:v>
      </x:c>
      <x:c r="C20" s="124" t="str">
        <x:v>Reconcile Tableau defect rate</x:v>
      </x:c>
      <x:c r="D20" s="124" t="str">
        <x:v>Dashboard uses mart export</x:v>
      </x:c>
      <x:c r="E20" s="124" t="str">
        <x:v>Compare Tableau KPI with weighted calculation and percentage formatting.</x:v>
      </x:c>
      <x:c r="F20" s="124" t="str">
        <x:v>0.96%</x:v>
      </x:c>
      <x:c r="G20" s="124" t="str">
        <x:v>0.96%</x:v>
      </x:c>
      <x:c r="H20" s="124" t="str">
        <x:v>Dashboard screenshot and mart export</x:v>
      </x:c>
      <x:c r="I20" s="124" t="str">
        <x:v>Quality Manager</x:v>
      </x:c>
      <x:c r="J20" s="124" t="str">
        <x:v>Must</x:v>
      </x:c>
      <x:c r="K20" s="124" t="str">
        <x:v>Pass</x:v>
      </x:c>
      <x:c r="L20" s="125" t="str">
        <x:v>None</x:v>
      </x:c>
    </x:row>
    <x:row r="21" ht="62" customHeight="1">
      <x:c r="A21" s="123" t="str">
        <x:v>UAT-016</x:v>
      </x:c>
      <x:c r="B21" s="124" t="str">
        <x:v>BR-003,FR-009,DQ-007,NFR-003</x:v>
      </x:c>
      <x:c r="C21" s="124" t="str">
        <x:v>Approve financial definitions</x:v>
      </x:c>
      <x:c r="D21" s="124" t="str">
        <x:v>Finance workshop completed</x:v>
      </x:c>
      <x:c r="E21" s="124" t="str">
        <x:v>Review ordered, committed, received, invoiced, and paid definitions and status treatment.</x:v>
      </x:c>
      <x:c r="F21" s="124" t="str">
        <x:v>Signed KPI definition and reconciliation rule</x:v>
      </x:c>
      <x:c r="G21" s="124" t="str">
        <x:v>Not yet approved</x:v>
      </x:c>
      <x:c r="H21" s="124" t="str">
        <x:v>Decision log DEC-009</x:v>
      </x:c>
      <x:c r="I21" s="124" t="str">
        <x:v>Finance Manager</x:v>
      </x:c>
      <x:c r="J21" s="124" t="str">
        <x:v>Must before production</x:v>
      </x:c>
      <x:c r="K21" s="124" t="str">
        <x:v>Not Run</x:v>
      </x:c>
      <x:c r="L21" s="125" t="str">
        <x:v>Business decision required</x:v>
      </x:c>
    </x:row>
    <x:row r="22" ht="62" customHeight="1">
      <x:c r="A22" s="123" t="str">
        <x:v>UAT-017</x:v>
      </x:c>
      <x:c r="B22" s="124" t="str">
        <x:v>BR-003,FR-011,NFR-003</x:v>
      </x:c>
      <x:c r="C22" s="124" t="str">
        <x:v>Approve risk thresholds</x:v>
      </x:c>
      <x:c r="D22" s="124" t="str">
        <x:v>Real supplier history and volumes available</x:v>
      </x:c>
      <x:c r="E22" s="124" t="str">
        <x:v>Back-test proposed thresholds and obtain owner sign-off.</x:v>
      </x:c>
      <x:c r="F22" s="124" t="str">
        <x:v>Meaningful, explainable segmentation with approved thresholds</x:v>
      </x:c>
      <x:c r="G22" s="124" t="str">
        <x:v>Not yet tested</x:v>
      </x:c>
      <x:c r="H22" s="124" t="str">
        <x:v>Decision log DEC-006</x:v>
      </x:c>
      <x:c r="I22" s="124" t="str">
        <x:v>Procurement / Quality / Operations</x:v>
      </x:c>
      <x:c r="J22" s="124" t="str">
        <x:v>Must before production</x:v>
      </x:c>
      <x:c r="K22" s="124" t="str">
        <x:v>Not Run</x:v>
      </x:c>
      <x:c r="L22" s="125" t="str">
        <x:v>Real data and business calibration required</x:v>
      </x:c>
    </x:row>
    <x:row r="23" ht="62" customHeight="1">
      <x:c r="A23" s="123" t="str">
        <x:v>UAT-018</x:v>
      </x:c>
      <x:c r="B23" s="124" t="str">
        <x:v>FR-007,NFR-001</x:v>
      </x:c>
      <x:c r="C23" s="124" t="str">
        <x:v>Validate repeatable build and price variance</x:v>
      </x:c>
      <x:c r="D23" s="124" t="str">
        <x:v>Repository and environment configured</x:v>
      </x:c>
      <x:c r="E23" s="124" t="str">
        <x:v>Run setup, dbt build/tests, and reconcile total price variance.</x:v>
      </x:c>
      <x:c r="F23" s="124" t="str">
        <x:v>$2,285,310.15 and successful repeatable build</x:v>
      </x:c>
      <x:c r="G23" s="124" t="str">
        <x:v>$2,285,310.15 in current output</x:v>
      </x:c>
      <x:c r="H23" s="124" t="str">
        <x:v>SQL/dbt code and exported marts</x:v>
      </x:c>
      <x:c r="I23" s="124" t="str">
        <x:v>Data Team</x:v>
      </x:c>
      <x:c r="J23" s="124" t="str">
        <x:v>Should</x:v>
      </x:c>
      <x:c r="K23" s="124" t="str">
        <x:v>Pass</x:v>
      </x:c>
      <x:c r="L23" s="125" t="str">
        <x:v>Environment automation remains planned</x:v>
      </x:c>
    </x:row>
    <x:row r="24" ht="62" customHeight="1">
      <x:c r="A24" s="123" t="str">
        <x:v>UAT-019</x:v>
      </x:c>
      <x:c r="B24" s="124" t="str">
        <x:v>FR-010</x:v>
      </x:c>
      <x:c r="C24" s="124" t="str">
        <x:v>Validate drill-down usability</x:v>
      </x:c>
      <x:c r="D24" s="124" t="str">
        <x:v>Enhanced dashboard prototype available</x:v>
      </x:c>
      <x:c r="E24" s="124" t="str">
        <x:v>Ask representative buyers and planners to complete defined investigation tasks.</x:v>
      </x:c>
      <x:c r="F24" s="124" t="str">
        <x:v>Users complete tasks without calculation ambiguity</x:v>
      </x:c>
      <x:c r="G24" s="124" t="str">
        <x:v>Enhancement not built</x:v>
      </x:c>
      <x:c r="H24" s="124" t="str">
        <x:v>Future usability-test evidence</x:v>
      </x:c>
      <x:c r="I24" s="124" t="str">
        <x:v>Product Owner</x:v>
      </x:c>
      <x:c r="J24" s="124" t="str">
        <x:v>Should</x:v>
      </x:c>
      <x:c r="K24" s="124" t="str">
        <x:v>Not Run</x:v>
      </x:c>
      <x:c r="L24" s="125" t="str">
        <x:v>Scope for next dashboard release</x:v>
      </x:c>
    </x:row>
    <x:row r="25" ht="62" customHeight="1">
      <x:c r="A25" s="123" t="str">
        <x:v>UAT-020</x:v>
      </x:c>
      <x:c r="B25" s="124" t="str">
        <x:v>DQ-006,NFR-006</x:v>
      </x:c>
      <x:c r="C25" s="124" t="str">
        <x:v>Validate production refresh and failure alert</x:v>
      </x:c>
      <x:c r="D25" s="124" t="str">
        <x:v>Production scheduling and monitoring configured</x:v>
      </x:c>
      <x:c r="E25" s="124" t="str">
        <x:v>Run successful refresh, then introduce a controlled failure.</x:v>
      </x:c>
      <x:c r="F25" s="124" t="str">
        <x:v>Refresh completes on schedule; failure alerts assigned owner</x:v>
      </x:c>
      <x:c r="G25" s="124" t="str">
        <x:v>Production workflow not built</x:v>
      </x:c>
      <x:c r="H25" s="124" t="str">
        <x:v>Future orchestration logs</x:v>
      </x:c>
      <x:c r="I25" s="124" t="str">
        <x:v>Data Team</x:v>
      </x:c>
      <x:c r="J25" s="124" t="str">
        <x:v>Must before production</x:v>
      </x:c>
      <x:c r="K25" s="124" t="str">
        <x:v>Not Run</x:v>
      </x:c>
      <x:c r="L25" s="125" t="str">
        <x:v>Outside prototype scope</x:v>
      </x:c>
    </x:row>
    <x:row r="26" ht="62" customHeight="1">
      <x:c r="A26" s="123" t="str">
        <x:v>UAT-021</x:v>
      </x:c>
      <x:c r="B26" s="124" t="str">
        <x:v>NFR-004</x:v>
      </x:c>
      <x:c r="C26" s="124" t="str">
        <x:v>Validate development warehouse controls</x:v>
      </x:c>
      <x:c r="D26" s="124" t="str">
        <x:v>Snowflake warehouse configured</x:v>
      </x:c>
      <x:c r="E26" s="124" t="str">
        <x:v>Inspect warehouse size, auto-resume, and auto-suspend settings.</x:v>
      </x:c>
      <x:c r="F26" s="124" t="str">
        <x:v>X-Small; auto-resume enabled; 60-second auto-suspend</x:v>
      </x:c>
      <x:c r="G26" s="124" t="str">
        <x:v>Matches prototype configuration</x:v>
      </x:c>
      <x:c r="H26" s="124" t="str">
        <x:v>Snowflake warehouse configuration</x:v>
      </x:c>
      <x:c r="I26" s="124" t="str">
        <x:v>Data Team</x:v>
      </x:c>
      <x:c r="J26" s="124" t="str">
        <x:v>Should</x:v>
      </x:c>
      <x:c r="K26" s="124" t="str">
        <x:v>Pass</x:v>
      </x:c>
      <x:c r="L26" s="125" t="str">
        <x:v>Add production budgets/resource monitors</x:v>
      </x:c>
    </x:row>
    <x:row r="27" ht="62" customHeight="1">
      <x:c r="A27" s="126" t="str">
        <x:v>UAT-022</x:v>
      </x:c>
      <x:c r="B27" s="127" t="str">
        <x:v>NFR-005,NFR-007</x:v>
      </x:c>
      <x:c r="C27" s="127" t="str">
        <x:v>Validate production access and confidentiality</x:v>
      </x:c>
      <x:c r="D27" s="127" t="str">
        <x:v>Production roles and governed BI platform configured</x:v>
      </x:c>
      <x:c r="E27" s="127" t="str">
        <x:v>Test role permissions and attempt unauthorized access.</x:v>
      </x:c>
      <x:c r="F27" s="127" t="str">
        <x:v>Least privilege enforced; confidential data not public</x:v>
      </x:c>
      <x:c r="G27" s="127" t="str">
        <x:v>Production security not built</x:v>
      </x:c>
      <x:c r="H27" s="127" t="str">
        <x:v>Future security/UAT evidence</x:v>
      </x:c>
      <x:c r="I27" s="127" t="str">
        <x:v>Data Governance</x:v>
      </x:c>
      <x:c r="J27" s="127" t="str">
        <x:v>Must before production</x:v>
      </x:c>
      <x:c r="K27" s="127" t="str">
        <x:v>Not Run</x:v>
      </x:c>
      <x:c r="L27" s="128" t="str">
        <x:v>Synthetic data only on Tableau Public</x:v>
      </x:c>
    </x:row>
  </x:sheetData>
  <x:mergeCells>
    <x:mergeCell ref="A1:L1"/>
    <x:mergeCell ref="A2:L2"/>
  </x:mergeCells>
  <x:conditionalFormatting sqref="K6:K27">
    <x:cfRule type="containsText" dxfId="10" priority="1" operator="containsText" text="Pass"/>
    <x:cfRule type="containsText" dxfId="11" priority="2" operator="containsText" text="Implemented"/>
    <x:cfRule type="containsText" dxfId="12" priority="3" operator="containsText" text="Planned"/>
    <x:cfRule type="containsText" dxfId="13" priority="4" operator="containsText" text="Not Run"/>
    <x:cfRule type="containsText" dxfId="14" priority="5" operator="containsText" text="Fail"/>
  </x:conditionalFormatting>
  <x:dataValidations count="2">
    <x:dataValidation type="list" sqref="J6:J27">
      <x:formula1>"Must,Should,Could,Must before production"</x:formula1>
    </x:dataValidation>
    <x:dataValidation type="list" sqref="K6:K27">
      <x:formula1>"Pass,Fail,Not Run,Blocked"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81fd7d38d946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38" hidden="0" customWidth="1"/>
    <x:col min="5" max="5" width="24" hidden="0" customWidth="1"/>
    <x:col min="6" max="6" width="40" hidden="0" customWidth="1"/>
    <x:col min="7" max="7" width="24" hidden="0" customWidth="1"/>
    <x:col min="8" max="8" width="38" hidden="0" customWidth="1"/>
    <x:col min="9" max="9" width="20" hidden="0" customWidth="1"/>
    <x:col min="10" max="10" width="40" hidden="0" customWidth="1"/>
  </x:cols>
  <x:sheetData>
    <x:row r="1" ht="34" customHeight="1">
      <x:c r="A1" s="3" t="str">
        <x:v>KPI Catalog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Business meaning, formula, grain, inclusion rules, ownership, implementation, and unresolved decisions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5" ht="34" customHeight="1">
      <x:c r="A5" s="70" t="str">
        <x:v>KPI</x:v>
      </x:c>
      <x:c r="B5" s="71" t="str">
        <x:v>Business question</x:v>
      </x:c>
      <x:c r="C5" s="71" t="str">
        <x:v>Business definition</x:v>
      </x:c>
      <x:c r="D5" s="71" t="str">
        <x:v>Formula</x:v>
      </x:c>
      <x:c r="E5" s="71" t="str">
        <x:v>Grain</x:v>
      </x:c>
      <x:c r="F5" s="71" t="str">
        <x:v>Inclusions / exclusions</x:v>
      </x:c>
      <x:c r="G5" s="71" t="str">
        <x:v>Owner</x:v>
      </x:c>
      <x:c r="H5" s="71" t="str">
        <x:v>Implementation</x:v>
      </x:c>
      <x:c r="I5" s="71" t="str">
        <x:v>Current result</x:v>
      </x:c>
      <x:c r="J5" s="72" t="str">
        <x:v>Production decision</x:v>
      </x:c>
    </x:row>
    <x:row r="6" ht="70" customHeight="1">
      <x:c r="A6" s="92" t="str">
        <x:v>Total Ordered Value</x:v>
      </x:c>
      <x:c r="B6" s="93" t="str">
        <x:v>How much value was placed on purchase-order lines?</x:v>
      </x:c>
      <x:c r="C6" s="93" t="str">
        <x:v>Sum of ordered quantity multiplied by unit price across all order statuses.</x:v>
      </x:c>
      <x:c r="D6" s="93" t="str">
        <x:v>SUM(ordered_quantity × unit_price)</x:v>
      </x:c>
      <x:c r="E6" s="93" t="str">
        <x:v>Purchase-order line</x:v>
      </x:c>
      <x:c r="F6" s="93" t="str">
        <x:v>Includes CLOSED, OPEN, and CANCELLED lines; not paid spend.</x:v>
      </x:c>
      <x:c r="G6" s="93" t="str">
        <x:v>Finance Manager</x:v>
      </x:c>
      <x:c r="H6" s="93" t="str">
        <x:v>purchase_order_analysis.order_line_value</x:v>
      </x:c>
      <x:c r="I6" s="129" t="n">
        <x:v>528137485.05</x:v>
      </x:c>
      <x:c r="J6" s="94" t="str">
        <x:v>Approve name and status treatment.</x:v>
      </x:c>
    </x:row>
    <x:row r="7" ht="70" customHeight="1">
      <x:c r="A7" s="95" t="str">
        <x:v>On-Time Delivery %</x:v>
      </x:c>
      <x:c r="B7" s="96" t="str">
        <x:v>Are delivered lines arriving as promised?</x:v>
      </x:c>
      <x:c r="C7" s="96" t="str">
        <x:v>Delivered lines received on or before promise divided by delivered lines.</x:v>
      </x:c>
      <x:c r="D7" s="96" t="str">
        <x:v>SUM(is_on_time) / COUNT(non-null is_on_time)</x:v>
      </x:c>
      <x:c r="E7" s="96" t="str">
        <x:v>Delivered purchase-order line</x:v>
      </x:c>
      <x:c r="F7" s="96" t="str">
        <x:v>Excludes lines without actual_delivery_date.</x:v>
      </x:c>
      <x:c r="G7" s="96" t="str">
        <x:v>Operations Planner</x:v>
      </x:c>
      <x:c r="H7" s="96" t="str">
        <x:v>purchase_order_analysis.is_on_time</x:v>
      </x:c>
      <x:c r="I7" s="130" t="n">
        <x:v>0.215802469</x:v>
      </x:c>
      <x:c r="J7" s="97" t="str">
        <x:v>Define partial-receipt and cutoff rules.</x:v>
      </x:c>
    </x:row>
    <x:row r="8" ht="70" customHeight="1">
      <x:c r="A8" s="95" t="str">
        <x:v>Defect Rate %</x:v>
      </x:c>
      <x:c r="B8" s="96" t="str">
        <x:v>What proportion of inspected units is rejected?</x:v>
      </x:c>
      <x:c r="C8" s="96" t="str">
        <x:v>Total rejected units divided by total inspected units.</x:v>
      </x:c>
      <x:c r="D8" s="96" t="str">
        <x:v>SUM(rejected_quantity) / SUM(inspected_quantity)</x:v>
      </x:c>
      <x:c r="E8" s="96" t="str">
        <x:v>Inspected units</x:v>
      </x:c>
      <x:c r="F8" s="96" t="str">
        <x:v>Weighted by inspected quantity; zero denominator protected.</x:v>
      </x:c>
      <x:c r="G8" s="96" t="str">
        <x:v>Quality Manager</x:v>
      </x:c>
      <x:c r="H8" s="96" t="str">
        <x:v>supplier_performance.defect_rate_pct</x:v>
      </x:c>
      <x:c r="I8" s="130" t="n">
        <x:v>0.009611038</x:v>
      </x:c>
      <x:c r="J8" s="97" t="str">
        <x:v>Add minimum volume and criticality rules.</x:v>
      </x:c>
    </x:row>
    <x:row r="9" ht="70" customHeight="1">
      <x:c r="A9" s="95" t="str">
        <x:v>Open-Order Exposure</x:v>
      </x:c>
      <x:c r="B9" s="96" t="str">
        <x:v>How much ordered value is associated with OPEN orders?</x:v>
      </x:c>
      <x:c r="C9" s="96" t="str">
        <x:v>Line value when order status is OPEN; otherwise zero.</x:v>
      </x:c>
      <x:c r="D9" s="96" t="str">
        <x:v>SUM(CASE WHEN status='OPEN' THEN line_value ELSE 0 END)</x:v>
      </x:c>
      <x:c r="E9" s="96" t="str">
        <x:v>Purchase-order line</x:v>
      </x:c>
      <x:c r="F9" s="96" t="str">
        <x:v>Uses full ordered line value, not outstanding quantity.</x:v>
      </x:c>
      <x:c r="G9" s="96" t="str">
        <x:v>Finance / Procurement</x:v>
      </x:c>
      <x:c r="H9" s="96" t="str">
        <x:v>purchase_order_analysis.open_order_exposure</x:v>
      </x:c>
      <x:c r="I9" s="131" t="n">
        <x:v>27407880.34</x:v>
      </x:c>
      <x:c r="J9" s="97" t="str">
        <x:v>Approve full versus undelivered exposure.</x:v>
      </x:c>
    </x:row>
    <x:row r="10" ht="70" customHeight="1">
      <x:c r="A10" s="95" t="str">
        <x:v>Price Variance</x:v>
      </x:c>
      <x:c r="B10" s="96" t="str">
        <x:v>How does actual unit price compare with standard price?</x:v>
      </x:c>
      <x:c r="C10" s="96" t="str">
        <x:v>Ordered quantity multiplied by actual-minus-standard unit price.</x:v>
      </x:c>
      <x:c r="D10" s="96" t="str">
        <x:v>SUM(quantity × (unit_price - standard_unit_price))</x:v>
      </x:c>
      <x:c r="E10" s="96" t="str">
        <x:v>Purchase-order line</x:v>
      </x:c>
      <x:c r="F10" s="96" t="str">
        <x:v>Positive means actual price above standard under current sign convention.</x:v>
      </x:c>
      <x:c r="G10" s="96" t="str">
        <x:v>Finance / Buyer</x:v>
      </x:c>
      <x:c r="H10" s="96" t="str">
        <x:v>purchase_order_analysis.price_variance_amount</x:v>
      </x:c>
      <x:c r="I10" s="131" t="n">
        <x:v>2285310.15</x:v>
      </x:c>
      <x:c r="J10" s="97" t="str">
        <x:v>Approve tolerance and favorable/unfavorable display.</x:v>
      </x:c>
    </x:row>
    <x:row r="11" ht="70" customHeight="1">
      <x:c r="A11" s="98" t="str">
        <x:v>Supplier Risk Level</x:v>
      </x:c>
      <x:c r="B11" s="99" t="str">
        <x:v>Which suppliers warrant review?</x:v>
      </x:c>
      <x:c r="C11" s="99" t="str">
        <x:v>Illustrative HIGH/MEDIUM/LOW rule based on delivery and defect thresholds.</x:v>
      </x:c>
      <x:c r="D11" s="99" t="str">
        <x:v>Rule-based classification</x:v>
      </x:c>
      <x:c r="E11" s="99" t="str">
        <x:v>Supplier</x:v>
      </x:c>
      <x:c r="F11" s="99" t="str">
        <x:v>All 29 suppliers are HIGH in the synthetic scenario.</x:v>
      </x:c>
      <x:c r="G11" s="99" t="str">
        <x:v>Procurement Manager</x:v>
      </x:c>
      <x:c r="H11" s="99" t="str">
        <x:v>supplier_performance.supplier_risk_level</x:v>
      </x:c>
      <x:c r="I11" s="132" t="n">
        <x:v>29</x:v>
      </x:c>
      <x:c r="J11" s="100" t="str">
        <x:v>Recalibrate before production.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d72e6256ddf24b3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8" hidden="0" customWidth="1"/>
    <x:col min="3" max="3" width="24" hidden="0" customWidth="1"/>
    <x:col min="4" max="4" width="48" hidden="0" customWidth="1"/>
    <x:col min="5" max="5" width="48" hidden="0" customWidth="1"/>
    <x:col min="6" max="6" width="24" hidden="0" customWidth="1"/>
  </x:cols>
  <x:sheetData>
    <x:row r="1" ht="34" customHeight="1">
      <x:c r="A1" s="3" t="str">
        <x:v>Decision Log</x:v>
      </x:c>
      <x:c r="B1" s="3"/>
      <x:c r="C1" s="3"/>
      <x:c r="D1" s="3"/>
      <x:c r="E1" s="3"/>
      <x:c r="F1" s="3"/>
    </x:row>
    <x:row r="2" ht="30" customHeight="1">
      <x:c r="A2" s="7" t="str">
        <x:v>Records accepted prototype choices, trade-offs, owners, and decisions that remain open before production</x:v>
      </x:c>
      <x:c r="B2" s="7"/>
      <x:c r="C2" s="7"/>
      <x:c r="D2" s="7"/>
      <x:c r="E2" s="7"/>
      <x:c r="F2" s="7"/>
    </x:row>
    <x:row r="5" ht="34" customHeight="1">
      <x:c r="A5" s="70" t="str">
        <x:v>Decision ID</x:v>
      </x:c>
      <x:c r="B5" s="71" t="str">
        <x:v>Decision</x:v>
      </x:c>
      <x:c r="C5" s="71" t="str">
        <x:v>Status</x:v>
      </x:c>
      <x:c r="D5" s="71" t="str">
        <x:v>Rationale</x:v>
      </x:c>
      <x:c r="E5" s="71" t="str">
        <x:v>Trade-off / follow-up</x:v>
      </x:c>
      <x:c r="F5" s="72" t="str">
        <x:v>Owner</x:v>
      </x:c>
    </x:row>
    <x:row r="6" ht="62" customHeight="1">
      <x:c r="A6" s="92" t="str">
        <x:v>DEC-001</x:v>
      </x:c>
      <x:c r="B6" s="93" t="str">
        <x:v>Use one row per purchase-order line as detailed mart grain.</x:v>
      </x:c>
      <x:c r="C6" s="93" t="str">
        <x:v>Accepted for prototype</x:v>
      </x:c>
      <x:c r="D6" s="93" t="str">
        <x:v>Preserves product, quantity, delivery, price, and inspection detail.</x:v>
      </x:c>
      <x:c r="E6" s="93" t="str">
        <x:v>Avoid double-counting order headers.</x:v>
      </x:c>
      <x:c r="F6" s="94" t="str">
        <x:v>Data Team</x:v>
      </x:c>
    </x:row>
    <x:row r="7" ht="62" customHeight="1">
      <x:c r="A7" s="95" t="str">
        <x:v>DEC-002</x:v>
      </x:c>
      <x:c r="B7" s="96" t="str">
        <x:v>Use weighted defect rate.</x:v>
      </x:c>
      <x:c r="C7" s="96" t="str">
        <x:v>Accepted for prototype</x:v>
      </x:c>
      <x:c r="D7" s="96" t="str">
        <x:v>Large inspections contribute proportionally.</x:v>
      </x:c>
      <x:c r="E7" s="96" t="str">
        <x:v>Add minimum volumes and criticality.</x:v>
      </x:c>
      <x:c r="F7" s="97" t="str">
        <x:v>Quality Manager</x:v>
      </x:c>
    </x:row>
    <x:row r="8" ht="62" customHeight="1">
      <x:c r="A8" s="95" t="str">
        <x:v>DEC-003</x:v>
      </x:c>
      <x:c r="B8" s="96" t="str">
        <x:v>Include only delivered lines in on-time delivery.</x:v>
      </x:c>
      <x:c r="C8" s="96" t="str">
        <x:v>Accepted for prototype</x:v>
      </x:c>
      <x:c r="D8" s="96" t="str">
        <x:v>Open/cancelled lines have no actual delivery date.</x:v>
      </x:c>
      <x:c r="E8" s="96" t="str">
        <x:v>Create separate open-order aging metric.</x:v>
      </x:c>
      <x:c r="F8" s="97" t="str">
        <x:v>Operations Planner</x:v>
      </x:c>
    </x:row>
    <x:row r="9" ht="62" customHeight="1">
      <x:c r="A9" s="95" t="str">
        <x:v>DEC-004</x:v>
      </x:c>
      <x:c r="B9" s="96" t="str">
        <x:v>Treat delivery on the promised date as on time.</x:v>
      </x:c>
      <x:c r="C9" s="96" t="str">
        <x:v>Accepted for prototype</x:v>
      </x:c>
      <x:c r="D9" s="96" t="str">
        <x:v>Matches on-or-before interpretation.</x:v>
      </x:c>
      <x:c r="E9" s="96" t="str">
        <x:v>Confirm partial receipt, cutoff, and timezone rules.</x:v>
      </x:c>
      <x:c r="F9" s="97" t="str">
        <x:v>Operations Planner</x:v>
      </x:c>
    </x:row>
    <x:row r="10" ht="62" customHeight="1">
      <x:c r="A10" s="95" t="str">
        <x:v>DEC-005</x:v>
      </x:c>
      <x:c r="B10" s="96" t="str">
        <x:v>Use full ordered line value for OPEN-order exposure.</x:v>
      </x:c>
      <x:c r="C10" s="96" t="str">
        <x:v>Accepted for prototype</x:v>
      </x:c>
      <x:c r="D10" s="96" t="str">
        <x:v>Simple view of unfinished value.</x:v>
      </x:c>
      <x:c r="E10" s="96" t="str">
        <x:v>Production may need only undelivered value.</x:v>
      </x:c>
      <x:c r="F10" s="97" t="str">
        <x:v>Procurement + Finance</x:v>
      </x:c>
    </x:row>
    <x:row r="11" ht="62" customHeight="1">
      <x:c r="A11" s="95" t="str">
        <x:v>DEC-006</x:v>
      </x:c>
      <x:c r="B11" s="96" t="str">
        <x:v>Use fixed illustrative supplier-risk thresholds.</x:v>
      </x:c>
      <x:c r="C11" s="96" t="str">
        <x:v>Prototype only</x:v>
      </x:c>
      <x:c r="D11" s="96" t="str">
        <x:v>Demonstrates transparent classification.</x:v>
      </x:c>
      <x:c r="E11" s="96" t="str">
        <x:v>All suppliers become HIGH; recalibration is mandatory.</x:v>
      </x:c>
      <x:c r="F11" s="97" t="str">
        <x:v>Procurement Manager</x:v>
      </x:c>
    </x:row>
    <x:row r="12" ht="62" customHeight="1">
      <x:c r="A12" s="95" t="str">
        <x:v>DEC-007</x:v>
      </x:c>
      <x:c r="B12" s="96" t="str">
        <x:v>Use deterministic synthetic operational transactions.</x:v>
      </x:c>
      <x:c r="C12" s="96" t="str">
        <x:v>Accepted</x:v>
      </x:c>
      <x:c r="D12" s="96" t="str">
        <x:v>Provides reproducibility without confidential data.</x:v>
      </x:c>
      <x:c r="E12" s="96" t="str">
        <x:v>Cannot claim actual performance or savings.</x:v>
      </x:c>
      <x:c r="F12" s="97" t="str">
        <x:v>Project Owner</x:v>
      </x:c>
    </x:row>
    <x:row r="13" ht="62" customHeight="1">
      <x:c r="A13" s="95" t="str">
        <x:v>DEC-008</x:v>
      </x:c>
      <x:c r="B13" s="96" t="str">
        <x:v>Export mart data to CSV for Tableau portability.</x:v>
      </x:c>
      <x:c r="C13" s="96" t="str">
        <x:v>Accepted for prototype</x:v>
      </x:c>
      <x:c r="D13" s="96" t="str">
        <x:v>Preserves access after the Snowflake trial.</x:v>
      </x:c>
      <x:c r="E13" s="96" t="str">
        <x:v>Production needs governed live/scheduled connection.</x:v>
      </x:c>
      <x:c r="F13" s="97" t="str">
        <x:v>Data Team</x:v>
      </x:c>
    </x:row>
    <x:row r="14" ht="62" customHeight="1">
      <x:c r="A14" s="95" t="str">
        <x:v>DEC-009</x:v>
      </x:c>
      <x:c r="B14" s="96" t="str">
        <x:v>Call the sum of all line values total spend.</x:v>
      </x:c>
      <x:c r="C14" s="96" t="str">
        <x:v>Open—rename recommended</x:v>
      </x:c>
      <x:c r="D14" s="96" t="str">
        <x:v>Original dashboard terminology.</x:v>
      </x:c>
      <x:c r="E14" s="96" t="str">
        <x:v>Use Total Ordered Value unless finance approves otherwise.</x:v>
      </x:c>
      <x:c r="F14" s="97" t="str">
        <x:v>Finance Manager</x:v>
      </x:c>
    </x:row>
    <x:row r="15" ht="62" customHeight="1">
      <x:c r="A15" s="95" t="str">
        <x:v>DEC-010</x:v>
      </x:c>
      <x:c r="B15" s="96" t="str">
        <x:v>Keep business logic in dbt rather than Tableau.</x:v>
      </x:c>
      <x:c r="C15" s="96" t="str">
        <x:v>Accepted</x:v>
      </x:c>
      <x:c r="D15" s="96" t="str">
        <x:v>Centralizes definitions and testing.</x:v>
      </x:c>
      <x:c r="E15" s="96" t="str">
        <x:v>Use Tableau primarily for presentation and interaction.</x:v>
      </x:c>
      <x:c r="F15" s="97" t="str">
        <x:v>Data Team</x:v>
      </x:c>
    </x:row>
    <x:row r="16" ht="62" customHeight="1">
      <x:c r="A16" s="98" t="str">
        <x:v>DEC-011</x:v>
      </x:c>
      <x:c r="B16" s="99" t="str">
        <x:v>Omit orchestration, CI/CD, and production security.</x:v>
      </x:c>
      <x:c r="C16" s="99" t="str">
        <x:v>Accepted for prototype</x:v>
      </x:c>
      <x:c r="D16" s="99" t="str">
        <x:v>Keeps learning scope focused.</x:v>
      </x:c>
      <x:c r="E16" s="99" t="str">
        <x:v>Mandatory items in a production roadmap.</x:v>
      </x:c>
      <x:c r="F16" s="100" t="str">
        <x:v>Project Owner</x:v>
      </x:c>
    </x:row>
  </x:sheetData>
  <x:mergeCells>
    <x:mergeCell ref="A1:F1"/>
    <x:mergeCell ref="A2:F2"/>
  </x:mergeCells>
  <x:conditionalFormatting sqref="C6:C16">
    <x:cfRule type="containsText" dxfId="15" priority="1" operator="containsText" text="Accepted"/>
    <x:cfRule type="containsText" dxfId="16" priority="2" operator="containsText" text="Prototype only"/>
    <x:cfRule type="containsText" dxfId="17" priority="3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4b13b767108d4dcb"/>
  </x:tableParts>
</x:worksheet>
</file>